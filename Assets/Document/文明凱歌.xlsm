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_User\Documents\newcardgame\Assets\Document\"/>
    </mc:Choice>
  </mc:AlternateContent>
  <xr:revisionPtr revIDLastSave="0" documentId="13_ncr:1_{A5A2086A-113E-42E5-9564-CB1B5B84D8CA}" xr6:coauthVersionLast="47" xr6:coauthVersionMax="47" xr10:uidLastSave="{00000000-0000-0000-0000-000000000000}"/>
  <bookViews>
    <workbookView xWindow="15270" yWindow="5600" windowWidth="20820" windowHeight="13060" xr2:uid="{7D747CC5-0866-48EE-9A3D-B3575E75A4C4}"/>
  </bookViews>
  <sheets>
    <sheet name="カード詳細" sheetId="8" r:id="rId1"/>
    <sheet name="状態" sheetId="7" r:id="rId2"/>
    <sheet name="固有名称" sheetId="5" r:id="rId3"/>
    <sheet name="属性特徴" sheetId="1" r:id="rId4"/>
    <sheet name="Sheet4" sheetId="10" r:id="rId5"/>
    <sheet name="カード効果起動タイミング" sheetId="4" r:id="rId6"/>
    <sheet name="Sheet2" sheetId="2" r:id="rId7"/>
    <sheet name="Sheet1" sheetId="9" r:id="rId8"/>
    <sheet name="Sheet3" sheetId="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H9" i="1"/>
  <c r="H8" i="1"/>
  <c r="H7" i="1"/>
  <c r="H6" i="1"/>
  <c r="H5" i="1"/>
  <c r="H4" i="1"/>
</calcChain>
</file>

<file path=xl/sharedStrings.xml><?xml version="1.0" encoding="utf-8"?>
<sst xmlns="http://schemas.openxmlformats.org/spreadsheetml/2006/main" count="1059" uniqueCount="462">
  <si>
    <t>人知</t>
    <rPh sb="0" eb="2">
      <t>ジンチ</t>
    </rPh>
    <phoneticPr fontId="1"/>
  </si>
  <si>
    <t>野生</t>
    <rPh sb="0" eb="2">
      <t>ヤセイ</t>
    </rPh>
    <phoneticPr fontId="1"/>
  </si>
  <si>
    <t>古代</t>
    <rPh sb="0" eb="2">
      <t>コダイ</t>
    </rPh>
    <phoneticPr fontId="1"/>
  </si>
  <si>
    <t>空想</t>
    <rPh sb="0" eb="2">
      <t>クウソウ</t>
    </rPh>
    <phoneticPr fontId="1"/>
  </si>
  <si>
    <t>構造</t>
    <rPh sb="0" eb="2">
      <t>コウゾウ</t>
    </rPh>
    <phoneticPr fontId="1"/>
  </si>
  <si>
    <t>細菌</t>
    <rPh sb="0" eb="2">
      <t>サイキン</t>
    </rPh>
    <phoneticPr fontId="1"/>
  </si>
  <si>
    <t>総合</t>
    <rPh sb="0" eb="2">
      <t>ソウゴウ</t>
    </rPh>
    <phoneticPr fontId="1"/>
  </si>
  <si>
    <t>属性</t>
    <rPh sb="0" eb="2">
      <t>ゾクセイ</t>
    </rPh>
    <phoneticPr fontId="1"/>
  </si>
  <si>
    <t>主に使うカードタイプ</t>
    <rPh sb="0" eb="1">
      <t>オモ</t>
    </rPh>
    <rPh sb="2" eb="3">
      <t>ツカ</t>
    </rPh>
    <phoneticPr fontId="1"/>
  </si>
  <si>
    <t>アニマ10</t>
    <phoneticPr fontId="1"/>
  </si>
  <si>
    <t>グレイス10</t>
    <phoneticPr fontId="1"/>
  </si>
  <si>
    <t>オーナメント10</t>
    <phoneticPr fontId="1"/>
  </si>
  <si>
    <t>アニマ7・グレイス3</t>
    <phoneticPr fontId="1"/>
  </si>
  <si>
    <t>グレイス7・・・</t>
    <phoneticPr fontId="1"/>
  </si>
  <si>
    <t>1．属性内で相性のいいカードが多い（全てのカードを制限なく使える）（カードの効果で差別化）</t>
    <rPh sb="2" eb="4">
      <t>ゾクセイ</t>
    </rPh>
    <rPh sb="4" eb="5">
      <t>ナイ</t>
    </rPh>
    <rPh sb="6" eb="8">
      <t>アイショウ</t>
    </rPh>
    <rPh sb="15" eb="16">
      <t>オオ</t>
    </rPh>
    <rPh sb="18" eb="19">
      <t>スベ</t>
    </rPh>
    <rPh sb="25" eb="27">
      <t>セイゲン</t>
    </rPh>
    <rPh sb="29" eb="30">
      <t>ツカ</t>
    </rPh>
    <rPh sb="38" eb="40">
      <t>コウカ</t>
    </rPh>
    <rPh sb="41" eb="44">
      <t>サベツカ</t>
    </rPh>
    <phoneticPr fontId="1"/>
  </si>
  <si>
    <t>2．デッキに属性の枚数でボーナスをつける（全てのカードを制限なく使える）（ルールボーナスで差別化）</t>
    <rPh sb="6" eb="8">
      <t>ゾクセイ</t>
    </rPh>
    <rPh sb="9" eb="11">
      <t>マイスウ</t>
    </rPh>
    <rPh sb="21" eb="22">
      <t>スベ</t>
    </rPh>
    <rPh sb="28" eb="30">
      <t>セイゲン</t>
    </rPh>
    <rPh sb="32" eb="33">
      <t>ツカ</t>
    </rPh>
    <rPh sb="45" eb="48">
      <t>サベツカ</t>
    </rPh>
    <phoneticPr fontId="1"/>
  </si>
  <si>
    <t>3．デッキごとに使用属性に制限をつける（制限で差別化）</t>
    <rPh sb="8" eb="10">
      <t>シヨウ</t>
    </rPh>
    <rPh sb="10" eb="12">
      <t>ゾクセイ</t>
    </rPh>
    <rPh sb="13" eb="15">
      <t>セイゲン</t>
    </rPh>
    <rPh sb="20" eb="22">
      <t>セイゲン</t>
    </rPh>
    <rPh sb="23" eb="26">
      <t>サベツカ</t>
    </rPh>
    <phoneticPr fontId="1"/>
  </si>
  <si>
    <t>ボーナス種類</t>
    <rPh sb="4" eb="6">
      <t>シュルイ</t>
    </rPh>
    <phoneticPr fontId="1"/>
  </si>
  <si>
    <t>30/30(属性＋無)</t>
    <rPh sb="6" eb="8">
      <t>ゾクセイ</t>
    </rPh>
    <rPh sb="9" eb="10">
      <t>ム</t>
    </rPh>
    <phoneticPr fontId="1"/>
  </si>
  <si>
    <t>手札1</t>
    <rPh sb="0" eb="2">
      <t>テフダ</t>
    </rPh>
    <phoneticPr fontId="1"/>
  </si>
  <si>
    <t>手札</t>
    <rPh sb="0" eb="2">
      <t>テフダ</t>
    </rPh>
    <phoneticPr fontId="1"/>
  </si>
  <si>
    <t>シード</t>
    <phoneticPr fontId="1"/>
  </si>
  <si>
    <t>繁栄</t>
    <rPh sb="0" eb="2">
      <t>ハンエイ</t>
    </rPh>
    <phoneticPr fontId="1"/>
  </si>
  <si>
    <t>戦い方イメージ</t>
    <rPh sb="0" eb="1">
      <t>タタカ</t>
    </rPh>
    <rPh sb="2" eb="3">
      <t>カタ</t>
    </rPh>
    <phoneticPr fontId="1"/>
  </si>
  <si>
    <t>アニマをオーナメントで強化</t>
    <rPh sb="11" eb="13">
      <t>キョウカ</t>
    </rPh>
    <phoneticPr fontId="1"/>
  </si>
  <si>
    <t>アニマをどんどん並べる</t>
    <rPh sb="8" eb="9">
      <t>ナラ</t>
    </rPh>
    <phoneticPr fontId="1"/>
  </si>
  <si>
    <t>大型アニマを出したい</t>
    <rPh sb="0" eb="2">
      <t>オオガタ</t>
    </rPh>
    <rPh sb="6" eb="7">
      <t>ダ</t>
    </rPh>
    <phoneticPr fontId="1"/>
  </si>
  <si>
    <t>グレイスでトークンアニマを作成</t>
    <rPh sb="13" eb="15">
      <t>サクセイ</t>
    </rPh>
    <phoneticPr fontId="1"/>
  </si>
  <si>
    <t>オーナメントで場を整える</t>
    <rPh sb="7" eb="8">
      <t>バ</t>
    </rPh>
    <rPh sb="9" eb="10">
      <t>トトノ</t>
    </rPh>
    <phoneticPr fontId="1"/>
  </si>
  <si>
    <t>グレイスを使ってコンボを決める</t>
    <rPh sb="5" eb="6">
      <t>ツカ</t>
    </rPh>
    <rPh sb="12" eb="13">
      <t>キ</t>
    </rPh>
    <phoneticPr fontId="1"/>
  </si>
  <si>
    <t>6～8</t>
    <phoneticPr fontId="1"/>
  </si>
  <si>
    <t>決着ターン（8平均）</t>
    <rPh sb="0" eb="2">
      <t>ケッチャク</t>
    </rPh>
    <rPh sb="7" eb="9">
      <t>ヘイキン</t>
    </rPh>
    <phoneticPr fontId="1"/>
  </si>
  <si>
    <t>9～11</t>
    <phoneticPr fontId="1"/>
  </si>
  <si>
    <t>7～10</t>
    <phoneticPr fontId="1"/>
  </si>
  <si>
    <t>7～11</t>
    <phoneticPr fontId="1"/>
  </si>
  <si>
    <t>6～10</t>
    <phoneticPr fontId="1"/>
  </si>
  <si>
    <t>野性</t>
    <rPh sb="0" eb="2">
      <t>ヤセイ</t>
    </rPh>
    <phoneticPr fontId="1"/>
  </si>
  <si>
    <t>アニ5・グレ2・オナメ3</t>
    <phoneticPr fontId="1"/>
  </si>
  <si>
    <t>8～12</t>
    <phoneticPr fontId="1"/>
  </si>
  <si>
    <t>シード1</t>
    <phoneticPr fontId="1"/>
  </si>
  <si>
    <t>繁栄1</t>
    <rPh sb="0" eb="2">
      <t>ハンエイ</t>
    </rPh>
    <phoneticPr fontId="1"/>
  </si>
  <si>
    <t>専用アニマ</t>
    <rPh sb="0" eb="2">
      <t>センヨウ</t>
    </rPh>
    <phoneticPr fontId="1"/>
  </si>
  <si>
    <t>専用オナメ</t>
    <rPh sb="0" eb="2">
      <t>センヨウ</t>
    </rPh>
    <phoneticPr fontId="1"/>
  </si>
  <si>
    <t>専用グレイス</t>
    <rPh sb="0" eb="2">
      <t>センヨウ</t>
    </rPh>
    <phoneticPr fontId="1"/>
  </si>
  <si>
    <t>加護</t>
    <rPh sb="0" eb="2">
      <t>カゴ</t>
    </rPh>
    <phoneticPr fontId="1"/>
  </si>
  <si>
    <t>相性</t>
    <rPh sb="0" eb="2">
      <t>アイショウ</t>
    </rPh>
    <phoneticPr fontId="1"/>
  </si>
  <si>
    <t>カード効果発生タイミング</t>
    <rPh sb="3" eb="5">
      <t>コウカ</t>
    </rPh>
    <rPh sb="5" eb="7">
      <t>ハッセイ</t>
    </rPh>
    <phoneticPr fontId="1"/>
  </si>
  <si>
    <t>カードが場に出たとき</t>
    <rPh sb="4" eb="5">
      <t>バ</t>
    </rPh>
    <rPh sb="6" eb="7">
      <t>デ</t>
    </rPh>
    <phoneticPr fontId="1"/>
  </si>
  <si>
    <t>カードが捨て札に入ったとき</t>
    <rPh sb="4" eb="5">
      <t>ス</t>
    </rPh>
    <rPh sb="6" eb="7">
      <t>フダ</t>
    </rPh>
    <rPh sb="8" eb="9">
      <t>イ</t>
    </rPh>
    <phoneticPr fontId="1"/>
  </si>
  <si>
    <t>カードが攻撃したとき</t>
    <rPh sb="4" eb="6">
      <t>コウゲキ</t>
    </rPh>
    <phoneticPr fontId="1"/>
  </si>
  <si>
    <t>カードが攻撃されたとき</t>
    <rPh sb="4" eb="6">
      <t>コウゲキ</t>
    </rPh>
    <phoneticPr fontId="1"/>
  </si>
  <si>
    <t>カードで得点したとき</t>
    <rPh sb="4" eb="6">
      <t>トクテン</t>
    </rPh>
    <phoneticPr fontId="1"/>
  </si>
  <si>
    <t>カードで得点されるとき</t>
    <rPh sb="4" eb="6">
      <t>トクテン</t>
    </rPh>
    <phoneticPr fontId="1"/>
  </si>
  <si>
    <t>ターン開始時</t>
    <rPh sb="3" eb="6">
      <t>カイシジ</t>
    </rPh>
    <phoneticPr fontId="1"/>
  </si>
  <si>
    <t>ターン終了時</t>
    <rPh sb="3" eb="6">
      <t>シュウリョウジ</t>
    </rPh>
    <phoneticPr fontId="1"/>
  </si>
  <si>
    <t>名称</t>
    <rPh sb="0" eb="2">
      <t>メイショウ</t>
    </rPh>
    <phoneticPr fontId="1"/>
  </si>
  <si>
    <t>内容</t>
    <rPh sb="0" eb="2">
      <t>ナイヨウ</t>
    </rPh>
    <phoneticPr fontId="1"/>
  </si>
  <si>
    <t>互いがそれぞれ使用可能なカード</t>
    <rPh sb="0" eb="1">
      <t>タガ</t>
    </rPh>
    <rPh sb="7" eb="9">
      <t>シヨウ</t>
    </rPh>
    <rPh sb="9" eb="11">
      <t>カノウ</t>
    </rPh>
    <phoneticPr fontId="1"/>
  </si>
  <si>
    <t>山札</t>
    <rPh sb="0" eb="1">
      <t>ヤマ</t>
    </rPh>
    <rPh sb="1" eb="2">
      <t>フダ</t>
    </rPh>
    <phoneticPr fontId="1"/>
  </si>
  <si>
    <t>バトルする上で準備されるカード</t>
    <rPh sb="5" eb="6">
      <t>ウエ</t>
    </rPh>
    <rPh sb="7" eb="9">
      <t>ジュンビ</t>
    </rPh>
    <phoneticPr fontId="1"/>
  </si>
  <si>
    <t>捨て札</t>
    <rPh sb="0" eb="1">
      <t>ス</t>
    </rPh>
    <rPh sb="2" eb="3">
      <t>フダ</t>
    </rPh>
    <phoneticPr fontId="1"/>
  </si>
  <si>
    <t>使用されたカードが置かれる場所</t>
    <rPh sb="0" eb="2">
      <t>シヨウ</t>
    </rPh>
    <rPh sb="9" eb="10">
      <t>オ</t>
    </rPh>
    <rPh sb="13" eb="15">
      <t>バショ</t>
    </rPh>
    <phoneticPr fontId="1"/>
  </si>
  <si>
    <t>バトルを通して、この数値を高くする。
この数値を一定の値以上にすると、ゲームに勝利する。</t>
    <rPh sb="4" eb="5">
      <t>トオ</t>
    </rPh>
    <rPh sb="10" eb="12">
      <t>スウチ</t>
    </rPh>
    <rPh sb="13" eb="14">
      <t>タカ</t>
    </rPh>
    <rPh sb="21" eb="23">
      <t>スウチ</t>
    </rPh>
    <rPh sb="24" eb="26">
      <t>イッテイ</t>
    </rPh>
    <rPh sb="27" eb="28">
      <t>アタイ</t>
    </rPh>
    <rPh sb="28" eb="30">
      <t>イジョウ</t>
    </rPh>
    <rPh sb="39" eb="41">
      <t>ショウリ</t>
    </rPh>
    <phoneticPr fontId="1"/>
  </si>
  <si>
    <t>状態</t>
    <rPh sb="0" eb="2">
      <t>ジョウタイ</t>
    </rPh>
    <phoneticPr fontId="1"/>
  </si>
  <si>
    <t>効果</t>
    <rPh sb="0" eb="2">
      <t>コウカ</t>
    </rPh>
    <phoneticPr fontId="1"/>
  </si>
  <si>
    <t>毒</t>
    <rPh sb="0" eb="1">
      <t>ドク</t>
    </rPh>
    <phoneticPr fontId="1"/>
  </si>
  <si>
    <t>スタン</t>
    <phoneticPr fontId="1"/>
  </si>
  <si>
    <t>ターン終了時に、指定の値のダメージを受ける。</t>
    <rPh sb="3" eb="6">
      <t>シュウリョウジ</t>
    </rPh>
    <rPh sb="8" eb="10">
      <t>シテイ</t>
    </rPh>
    <rPh sb="11" eb="12">
      <t>アタイ</t>
    </rPh>
    <rPh sb="18" eb="19">
      <t>ウ</t>
    </rPh>
    <phoneticPr fontId="1"/>
  </si>
  <si>
    <t>受けるダメージが倍になる。</t>
    <rPh sb="0" eb="1">
      <t>ウ</t>
    </rPh>
    <rPh sb="8" eb="9">
      <t>バイ</t>
    </rPh>
    <phoneticPr fontId="1"/>
  </si>
  <si>
    <t>呪い</t>
    <rPh sb="0" eb="1">
      <t>ノロ</t>
    </rPh>
    <phoneticPr fontId="1"/>
  </si>
  <si>
    <t>脆弱</t>
    <rPh sb="0" eb="2">
      <t>ゼイジャク</t>
    </rPh>
    <phoneticPr fontId="1"/>
  </si>
  <si>
    <t>指定のターンの間、攻撃力・捧身力が半分（切り捨て）になる。</t>
    <rPh sb="0" eb="2">
      <t>シテイ</t>
    </rPh>
    <rPh sb="7" eb="8">
      <t>アイダ</t>
    </rPh>
    <rPh sb="9" eb="12">
      <t>コウゲキリョク</t>
    </rPh>
    <rPh sb="13" eb="16">
      <t>ホウシンリョク</t>
    </rPh>
    <rPh sb="17" eb="19">
      <t>ハンブン</t>
    </rPh>
    <rPh sb="20" eb="21">
      <t>キ</t>
    </rPh>
    <rPh sb="22" eb="23">
      <t>ス</t>
    </rPh>
    <phoneticPr fontId="1"/>
  </si>
  <si>
    <t>指定のターンの間、攻撃・捧身・守護できない。</t>
    <rPh sb="0" eb="2">
      <t>シテイ</t>
    </rPh>
    <rPh sb="7" eb="8">
      <t>アイダ</t>
    </rPh>
    <rPh sb="9" eb="11">
      <t>コウゲキ</t>
    </rPh>
    <rPh sb="12" eb="14">
      <t>ホウシン</t>
    </rPh>
    <rPh sb="15" eb="17">
      <t>シュゴ</t>
    </rPh>
    <phoneticPr fontId="1"/>
  </si>
  <si>
    <t>虚弱</t>
    <rPh sb="0" eb="2">
      <t>キョジャク</t>
    </rPh>
    <phoneticPr fontId="1"/>
  </si>
  <si>
    <t>指定ターンの間、捨て札に送られる。</t>
    <rPh sb="0" eb="2">
      <t>シテイ</t>
    </rPh>
    <rPh sb="6" eb="7">
      <t>アイダ</t>
    </rPh>
    <rPh sb="8" eb="9">
      <t>ス</t>
    </rPh>
    <rPh sb="10" eb="11">
      <t>フダ</t>
    </rPh>
    <rPh sb="12" eb="13">
      <t>オク</t>
    </rPh>
    <phoneticPr fontId="1"/>
  </si>
  <si>
    <t>バフ/デバフ</t>
    <phoneticPr fontId="1"/>
  </si>
  <si>
    <t>デバフ</t>
    <phoneticPr fontId="1"/>
  </si>
  <si>
    <t>登場したターンに、攻撃・捧身できる。</t>
    <rPh sb="0" eb="2">
      <t>トウジョウ</t>
    </rPh>
    <rPh sb="9" eb="11">
      <t>コウゲキ</t>
    </rPh>
    <rPh sb="12" eb="14">
      <t>ホウシン</t>
    </rPh>
    <phoneticPr fontId="1"/>
  </si>
  <si>
    <t>相手のアニマの攻撃対象をこのカードに変更できる。</t>
    <rPh sb="0" eb="2">
      <t>アイテ</t>
    </rPh>
    <rPh sb="7" eb="9">
      <t>コウゲキ</t>
    </rPh>
    <rPh sb="9" eb="11">
      <t>タイショウ</t>
    </rPh>
    <rPh sb="18" eb="20">
      <t>ヘンコウ</t>
    </rPh>
    <phoneticPr fontId="1"/>
  </si>
  <si>
    <t>ステルス</t>
    <phoneticPr fontId="1"/>
  </si>
  <si>
    <t>このカードは攻撃されない。</t>
    <rPh sb="6" eb="8">
      <t>コウゲキ</t>
    </rPh>
    <phoneticPr fontId="1"/>
  </si>
  <si>
    <t>バフ</t>
    <phoneticPr fontId="1"/>
  </si>
  <si>
    <t>強靱</t>
    <rPh sb="0" eb="2">
      <t>キョウジン</t>
    </rPh>
    <phoneticPr fontId="1"/>
  </si>
  <si>
    <t>孤立</t>
    <rPh sb="0" eb="2">
      <t>コリツ</t>
    </rPh>
    <phoneticPr fontId="1"/>
  </si>
  <si>
    <t>このカードが攻撃されるとき、守護ができない。</t>
    <rPh sb="6" eb="8">
      <t>コウゲキ</t>
    </rPh>
    <rPh sb="14" eb="16">
      <t>シュゴ</t>
    </rPh>
    <phoneticPr fontId="1"/>
  </si>
  <si>
    <t>-</t>
    <phoneticPr fontId="1"/>
  </si>
  <si>
    <t>オーナメント</t>
  </si>
  <si>
    <t>ベーシック</t>
  </si>
  <si>
    <t>石盤</t>
    <rPh sb="0" eb="2">
      <t>セキバン</t>
    </rPh>
    <phoneticPr fontId="1"/>
  </si>
  <si>
    <t>無銘</t>
  </si>
  <si>
    <t>1．相手のアニマ1体を選択する。このターン終了時まで、そのアニマを脆弱・虚弱・孤立にする。</t>
    <rPh sb="2" eb="4">
      <t>アイテ</t>
    </rPh>
    <rPh sb="9" eb="10">
      <t>タイ</t>
    </rPh>
    <rPh sb="11" eb="13">
      <t>センタク</t>
    </rPh>
    <rPh sb="21" eb="24">
      <t>シュウリョウジ</t>
    </rPh>
    <rPh sb="33" eb="35">
      <t>ゼイジャク</t>
    </rPh>
    <rPh sb="36" eb="38">
      <t>キョジャク</t>
    </rPh>
    <rPh sb="39" eb="41">
      <t>コリツ</t>
    </rPh>
    <phoneticPr fontId="1"/>
  </si>
  <si>
    <t>グレイス</t>
  </si>
  <si>
    <t>白羽の矢</t>
    <rPh sb="0" eb="2">
      <t>シラハ</t>
    </rPh>
    <rPh sb="3" eb="4">
      <t>ヤ</t>
    </rPh>
    <phoneticPr fontId="1"/>
  </si>
  <si>
    <t>1．自分の手札を好きなだけ選択する。選択したカードをデッキに戻し、戻したカードの数分ドローする。その後、1枚ドローする。</t>
    <rPh sb="2" eb="4">
      <t>ジブン</t>
    </rPh>
    <rPh sb="5" eb="7">
      <t>テフダ</t>
    </rPh>
    <rPh sb="8" eb="9">
      <t>ス</t>
    </rPh>
    <rPh sb="13" eb="15">
      <t>センタク</t>
    </rPh>
    <rPh sb="18" eb="20">
      <t>センタク</t>
    </rPh>
    <rPh sb="30" eb="31">
      <t>モド</t>
    </rPh>
    <rPh sb="33" eb="34">
      <t>モド</t>
    </rPh>
    <rPh sb="40" eb="41">
      <t>カズ</t>
    </rPh>
    <rPh sb="41" eb="42">
      <t>ブン</t>
    </rPh>
    <rPh sb="50" eb="51">
      <t>ゴ</t>
    </rPh>
    <rPh sb="53" eb="54">
      <t>マイ</t>
    </rPh>
    <phoneticPr fontId="1"/>
  </si>
  <si>
    <t>ノーマル</t>
  </si>
  <si>
    <t>万物流転</t>
    <rPh sb="0" eb="4">
      <t>バンブツルテン</t>
    </rPh>
    <phoneticPr fontId="1"/>
  </si>
  <si>
    <t>グレイス</t>
    <phoneticPr fontId="1"/>
  </si>
  <si>
    <t>銃撃</t>
    <rPh sb="0" eb="2">
      <t>ジュウゲキ</t>
    </rPh>
    <phoneticPr fontId="1"/>
  </si>
  <si>
    <t>無銘</t>
    <rPh sb="0" eb="2">
      <t>ムメイ</t>
    </rPh>
    <phoneticPr fontId="1"/>
  </si>
  <si>
    <t>1．このオーナメントの登場時と相手のターン終了時、「弱菌」1体を召喚する。</t>
    <rPh sb="11" eb="14">
      <t>トウジョウジ</t>
    </rPh>
    <rPh sb="15" eb="17">
      <t>アイテ</t>
    </rPh>
    <rPh sb="21" eb="24">
      <t>シュウリョウジ</t>
    </rPh>
    <rPh sb="26" eb="27">
      <t>ジャク</t>
    </rPh>
    <rPh sb="27" eb="28">
      <t>キン</t>
    </rPh>
    <rPh sb="30" eb="31">
      <t>タイ</t>
    </rPh>
    <rPh sb="32" eb="34">
      <t>ショウカン</t>
    </rPh>
    <phoneticPr fontId="1"/>
  </si>
  <si>
    <t>オーナメント</t>
    <phoneticPr fontId="1"/>
  </si>
  <si>
    <t>培養液</t>
    <rPh sb="0" eb="3">
      <t>バイヨウエキ</t>
    </rPh>
    <phoneticPr fontId="1"/>
  </si>
  <si>
    <t>1．「弱菌」2体を召喚する。</t>
    <rPh sb="3" eb="4">
      <t>ジャク</t>
    </rPh>
    <rPh sb="4" eb="5">
      <t>キン</t>
    </rPh>
    <rPh sb="7" eb="8">
      <t>タイ</t>
    </rPh>
    <rPh sb="9" eb="11">
      <t>ショウカン</t>
    </rPh>
    <phoneticPr fontId="1"/>
  </si>
  <si>
    <t>細菌</t>
  </si>
  <si>
    <t>アニマ</t>
    <phoneticPr fontId="1"/>
  </si>
  <si>
    <t>トークン</t>
  </si>
  <si>
    <t>弱菌</t>
    <rPh sb="0" eb="1">
      <t>ジャク</t>
    </rPh>
    <rPh sb="1" eb="2">
      <t>キン</t>
    </rPh>
    <phoneticPr fontId="1"/>
  </si>
  <si>
    <t>構造</t>
  </si>
  <si>
    <t>リミテッド</t>
  </si>
  <si>
    <t>バベルの塔</t>
    <rPh sb="4" eb="5">
      <t>トウ</t>
    </rPh>
    <phoneticPr fontId="1"/>
  </si>
  <si>
    <t>ガーディアン</t>
    <phoneticPr fontId="1"/>
  </si>
  <si>
    <t>ガラスの靴</t>
    <rPh sb="4" eb="5">
      <t>クツ</t>
    </rPh>
    <phoneticPr fontId="1"/>
  </si>
  <si>
    <t>空想</t>
  </si>
  <si>
    <t>レア</t>
  </si>
  <si>
    <t>カボチャの馬車</t>
    <rPh sb="5" eb="7">
      <t>バシャ</t>
    </rPh>
    <phoneticPr fontId="1"/>
  </si>
  <si>
    <t>閃光</t>
    <rPh sb="0" eb="2">
      <t>センコウ</t>
    </rPh>
    <phoneticPr fontId="1"/>
  </si>
  <si>
    <t>翼の祈り</t>
    <rPh sb="0" eb="1">
      <t>ツバサ</t>
    </rPh>
    <rPh sb="2" eb="3">
      <t>イノ</t>
    </rPh>
    <phoneticPr fontId="1"/>
  </si>
  <si>
    <t>1．繁栄が5以上ならば、繁栄を－5し『祈り』を＋3。</t>
    <rPh sb="2" eb="4">
      <t>ハンエイ</t>
    </rPh>
    <rPh sb="6" eb="8">
      <t>イジョウ</t>
    </rPh>
    <rPh sb="12" eb="14">
      <t>ハンエイ</t>
    </rPh>
    <rPh sb="19" eb="20">
      <t>イノ</t>
    </rPh>
    <phoneticPr fontId="1"/>
  </si>
  <si>
    <t>アニマ</t>
  </si>
  <si>
    <t>シンデレラ</t>
    <phoneticPr fontId="1"/>
  </si>
  <si>
    <t>ペガサス</t>
    <phoneticPr fontId="1"/>
  </si>
  <si>
    <t>見習い修道女</t>
    <rPh sb="0" eb="2">
      <t>ミナラ</t>
    </rPh>
    <rPh sb="3" eb="6">
      <t>シュウドウジョ</t>
    </rPh>
    <phoneticPr fontId="1"/>
  </si>
  <si>
    <t>1．このアニマの捧身時、『祈り』を＋1。</t>
    <rPh sb="8" eb="10">
      <t>ホウシン</t>
    </rPh>
    <rPh sb="10" eb="11">
      <t>ジ</t>
    </rPh>
    <rPh sb="13" eb="14">
      <t>イノ</t>
    </rPh>
    <phoneticPr fontId="1"/>
  </si>
  <si>
    <t>恐竜の卵</t>
    <rPh sb="0" eb="2">
      <t>キョウリュウ</t>
    </rPh>
    <rPh sb="3" eb="4">
      <t>タマゴ</t>
    </rPh>
    <phoneticPr fontId="1"/>
  </si>
  <si>
    <t>古代</t>
  </si>
  <si>
    <t>孤軍奮闘</t>
    <rPh sb="0" eb="4">
      <t>コグンフントウ</t>
    </rPh>
    <phoneticPr fontId="1"/>
  </si>
  <si>
    <t>ティラノサウルス</t>
    <phoneticPr fontId="1"/>
  </si>
  <si>
    <t>泉</t>
    <rPh sb="0" eb="1">
      <t>イズミ</t>
    </rPh>
    <phoneticPr fontId="1"/>
  </si>
  <si>
    <t>野性の雄叫び</t>
    <rPh sb="0" eb="2">
      <t>ヤセイ</t>
    </rPh>
    <rPh sb="3" eb="5">
      <t>オタケ</t>
    </rPh>
    <phoneticPr fontId="1"/>
  </si>
  <si>
    <t>バンビ</t>
    <phoneticPr fontId="1"/>
  </si>
  <si>
    <t>バッファロー</t>
    <phoneticPr fontId="1"/>
  </si>
  <si>
    <t>蝙蝠</t>
    <rPh sb="0" eb="2">
      <t>コウモリ</t>
    </rPh>
    <phoneticPr fontId="1"/>
  </si>
  <si>
    <t>野犬</t>
    <rPh sb="0" eb="2">
      <t>ヤケン</t>
    </rPh>
    <phoneticPr fontId="1"/>
  </si>
  <si>
    <t>1．ステルス。</t>
    <phoneticPr fontId="1"/>
  </si>
  <si>
    <t>梟</t>
    <rPh sb="0" eb="1">
      <t>フクロウ</t>
    </rPh>
    <phoneticPr fontId="1"/>
  </si>
  <si>
    <t>野性</t>
  </si>
  <si>
    <t>リス</t>
    <phoneticPr fontId="1"/>
  </si>
  <si>
    <t>鳩</t>
    <rPh sb="0" eb="1">
      <t>ハト</t>
    </rPh>
    <phoneticPr fontId="1"/>
  </si>
  <si>
    <t>狂戦士</t>
    <rPh sb="0" eb="1">
      <t>クル</t>
    </rPh>
    <rPh sb="1" eb="3">
      <t>センシ</t>
    </rPh>
    <phoneticPr fontId="1"/>
  </si>
  <si>
    <t>竜頭蛇尾</t>
    <rPh sb="0" eb="4">
      <t>リュウトウダビ</t>
    </rPh>
    <phoneticPr fontId="1"/>
  </si>
  <si>
    <t>1．このアニマの攻撃時、自分の他のアニマ1体を選択し、そのアニマを捨て札に送る。そのアニマの残り体力・攻撃力・捧身力の半分(切り上げ)をそれぞれこのアニマに追加する。</t>
    <rPh sb="8" eb="10">
      <t>コウゲキ</t>
    </rPh>
    <rPh sb="10" eb="11">
      <t>トキ</t>
    </rPh>
    <rPh sb="12" eb="14">
      <t>ジブン</t>
    </rPh>
    <rPh sb="15" eb="16">
      <t>ホカ</t>
    </rPh>
    <rPh sb="21" eb="22">
      <t>タイ</t>
    </rPh>
    <rPh sb="23" eb="25">
      <t>センタク</t>
    </rPh>
    <rPh sb="33" eb="34">
      <t>ス</t>
    </rPh>
    <rPh sb="35" eb="36">
      <t>フダ</t>
    </rPh>
    <rPh sb="37" eb="38">
      <t>オク</t>
    </rPh>
    <rPh sb="46" eb="47">
      <t>ノコ</t>
    </rPh>
    <rPh sb="48" eb="50">
      <t>タイリョク</t>
    </rPh>
    <rPh sb="51" eb="54">
      <t>コウゲキリョク</t>
    </rPh>
    <rPh sb="55" eb="57">
      <t>ホウシン</t>
    </rPh>
    <rPh sb="57" eb="58">
      <t>リョク</t>
    </rPh>
    <rPh sb="59" eb="61">
      <t>ハンブン</t>
    </rPh>
    <rPh sb="62" eb="63">
      <t>キ</t>
    </rPh>
    <rPh sb="64" eb="65">
      <t>ア</t>
    </rPh>
    <rPh sb="78" eb="80">
      <t>ツイカ</t>
    </rPh>
    <phoneticPr fontId="1"/>
  </si>
  <si>
    <t>喰らうモノ</t>
    <rPh sb="0" eb="1">
      <t>ク</t>
    </rPh>
    <phoneticPr fontId="1"/>
  </si>
  <si>
    <t>休憩所</t>
    <rPh sb="0" eb="3">
      <t>キュウケイジョ</t>
    </rPh>
    <phoneticPr fontId="1"/>
  </si>
  <si>
    <t>人智</t>
    <rPh sb="0" eb="2">
      <t>ジンチ</t>
    </rPh>
    <phoneticPr fontId="1"/>
  </si>
  <si>
    <t>吶喊(とっかん)</t>
    <rPh sb="0" eb="2">
      <t>トッカン</t>
    </rPh>
    <phoneticPr fontId="1"/>
  </si>
  <si>
    <t>医薬品</t>
    <rPh sb="0" eb="3">
      <t>イヤクヒン</t>
    </rPh>
    <phoneticPr fontId="1"/>
  </si>
  <si>
    <t>人智</t>
  </si>
  <si>
    <t>叡智</t>
    <rPh sb="0" eb="2">
      <t>エイチ</t>
    </rPh>
    <phoneticPr fontId="1"/>
  </si>
  <si>
    <t>兵士B</t>
    <rPh sb="0" eb="2">
      <t>ヘイシ</t>
    </rPh>
    <phoneticPr fontId="1"/>
  </si>
  <si>
    <t>兵士A</t>
    <rPh sb="0" eb="2">
      <t>ヘイシ</t>
    </rPh>
    <phoneticPr fontId="1"/>
  </si>
  <si>
    <t>足軽</t>
    <rPh sb="0" eb="2">
      <t>アシガル</t>
    </rPh>
    <phoneticPr fontId="1"/>
  </si>
  <si>
    <t>将校</t>
    <rPh sb="0" eb="2">
      <t>ショウコウ</t>
    </rPh>
    <phoneticPr fontId="1"/>
  </si>
  <si>
    <t>雑兵</t>
    <rPh sb="0" eb="2">
      <t>ゾウヒョウ</t>
    </rPh>
    <phoneticPr fontId="1"/>
  </si>
  <si>
    <t>1．捧身時、カードを1枚ドロー。</t>
    <rPh sb="2" eb="3">
      <t>ササ</t>
    </rPh>
    <rPh sb="3" eb="4">
      <t>シン</t>
    </rPh>
    <rPh sb="4" eb="5">
      <t>ジ</t>
    </rPh>
    <rPh sb="11" eb="12">
      <t>マイ</t>
    </rPh>
    <phoneticPr fontId="1"/>
  </si>
  <si>
    <t>補給兵</t>
    <rPh sb="0" eb="2">
      <t>ホキュウ</t>
    </rPh>
    <rPh sb="2" eb="3">
      <t>ヘイ</t>
    </rPh>
    <phoneticPr fontId="1"/>
  </si>
  <si>
    <t>門番</t>
    <rPh sb="0" eb="2">
      <t>モンバン</t>
    </rPh>
    <phoneticPr fontId="1"/>
  </si>
  <si>
    <t>衛兵</t>
    <rPh sb="0" eb="2">
      <t>エイヘイ</t>
    </rPh>
    <phoneticPr fontId="1"/>
  </si>
  <si>
    <t>捧身力</t>
    <rPh sb="0" eb="1">
      <t>ササ</t>
    </rPh>
    <rPh sb="1" eb="2">
      <t>シン</t>
    </rPh>
    <rPh sb="2" eb="3">
      <t>リョク</t>
    </rPh>
    <phoneticPr fontId="1"/>
  </si>
  <si>
    <t>攻撃力</t>
    <rPh sb="0" eb="2">
      <t>コウゲキ</t>
    </rPh>
    <rPh sb="2" eb="3">
      <t>リョク</t>
    </rPh>
    <phoneticPr fontId="1"/>
  </si>
  <si>
    <t>体力</t>
    <rPh sb="0" eb="2">
      <t>タイリョク</t>
    </rPh>
    <phoneticPr fontId="1"/>
  </si>
  <si>
    <t>Seed</t>
    <phoneticPr fontId="1"/>
  </si>
  <si>
    <t>カードタイプ</t>
    <phoneticPr fontId="1"/>
  </si>
  <si>
    <t>レアリティ</t>
    <phoneticPr fontId="1"/>
  </si>
  <si>
    <t>カード名</t>
    <rPh sb="3" eb="4">
      <t>メイ</t>
    </rPh>
    <phoneticPr fontId="1"/>
  </si>
  <si>
    <t>カードID</t>
    <phoneticPr fontId="1"/>
  </si>
  <si>
    <t>1．自分の人智アニマ全ての攻撃力・捧身力を＋7、体力を全回復させる。</t>
    <rPh sb="2" eb="4">
      <t>ジブン</t>
    </rPh>
    <rPh sb="5" eb="7">
      <t>ジンチ</t>
    </rPh>
    <rPh sb="10" eb="11">
      <t>スベ</t>
    </rPh>
    <rPh sb="13" eb="16">
      <t>コウゲキリョク</t>
    </rPh>
    <rPh sb="17" eb="20">
      <t>ホウシンリョク</t>
    </rPh>
    <rPh sb="24" eb="26">
      <t>タイリョク</t>
    </rPh>
    <rPh sb="27" eb="28">
      <t>ゼン</t>
    </rPh>
    <rPh sb="28" eb="30">
      <t>カイフク</t>
    </rPh>
    <phoneticPr fontId="1"/>
  </si>
  <si>
    <t>1．自分の人智アニマ1体の体力を14回復する。
2．相手の細菌アニマ1体を選択する。そのアニマに11ダメージ。</t>
    <rPh sb="2" eb="4">
      <t>ジブン</t>
    </rPh>
    <rPh sb="5" eb="7">
      <t>ジンチ</t>
    </rPh>
    <rPh sb="11" eb="12">
      <t>タイ</t>
    </rPh>
    <rPh sb="13" eb="15">
      <t>タイリョク</t>
    </rPh>
    <rPh sb="18" eb="20">
      <t>カイフク</t>
    </rPh>
    <rPh sb="26" eb="28">
      <t>アイテ</t>
    </rPh>
    <rPh sb="29" eb="31">
      <t>サイキン</t>
    </rPh>
    <rPh sb="35" eb="36">
      <t>タイ</t>
    </rPh>
    <rPh sb="37" eb="39">
      <t>センタク</t>
    </rPh>
    <phoneticPr fontId="1"/>
  </si>
  <si>
    <t>1．自分のターン開始時、自分のアニマ全ての体力を4回復。</t>
    <rPh sb="2" eb="4">
      <t>ジブン</t>
    </rPh>
    <rPh sb="8" eb="11">
      <t>カイシジ</t>
    </rPh>
    <rPh sb="12" eb="14">
      <t>ジブン</t>
    </rPh>
    <rPh sb="18" eb="19">
      <t>スベ</t>
    </rPh>
    <rPh sb="21" eb="23">
      <t>タイリョク</t>
    </rPh>
    <rPh sb="25" eb="27">
      <t>カイフク</t>
    </rPh>
    <phoneticPr fontId="1"/>
  </si>
  <si>
    <t>1．自分のターン開始時、ランダムな自分のアニマ1体を4回復。</t>
    <rPh sb="2" eb="4">
      <t>ジブン</t>
    </rPh>
    <rPh sb="8" eb="11">
      <t>カイシジ</t>
    </rPh>
    <rPh sb="17" eb="19">
      <t>ジブン</t>
    </rPh>
    <rPh sb="24" eb="25">
      <t>タイ</t>
    </rPh>
    <rPh sb="27" eb="29">
      <t>カイフク</t>
    </rPh>
    <phoneticPr fontId="1"/>
  </si>
  <si>
    <t>1．自分のアニマの登場時、そのアニマの捧身力が12ならば、『祈り』を＋2、このオーナメントを捨て札に送る。</t>
    <rPh sb="2" eb="4">
      <t>ジブン</t>
    </rPh>
    <rPh sb="9" eb="11">
      <t>トウジョウ</t>
    </rPh>
    <rPh sb="11" eb="12">
      <t>トキ</t>
    </rPh>
    <rPh sb="19" eb="21">
      <t>ホウシン</t>
    </rPh>
    <rPh sb="21" eb="22">
      <t>リョク</t>
    </rPh>
    <rPh sb="30" eb="31">
      <t>イノ</t>
    </rPh>
    <rPh sb="46" eb="47">
      <t>ス</t>
    </rPh>
    <rPh sb="48" eb="49">
      <t>フダ</t>
    </rPh>
    <rPh sb="50" eb="51">
      <t>オク</t>
    </rPh>
    <phoneticPr fontId="1"/>
  </si>
  <si>
    <t>1．自分のターン終了時、繁栄＋4。
2．このオーナメントが捨て札に送られたとき、繁栄－7。</t>
    <rPh sb="2" eb="4">
      <t>ジブン</t>
    </rPh>
    <rPh sb="8" eb="11">
      <t>シュウリョウジ</t>
    </rPh>
    <rPh sb="12" eb="14">
      <t>ハンエイ</t>
    </rPh>
    <rPh sb="29" eb="30">
      <t>ス</t>
    </rPh>
    <rPh sb="31" eb="32">
      <t>フダ</t>
    </rPh>
    <rPh sb="33" eb="34">
      <t>オク</t>
    </rPh>
    <rPh sb="40" eb="42">
      <t>ハンエイ</t>
    </rPh>
    <phoneticPr fontId="1"/>
  </si>
  <si>
    <t>1．自分のターン開始時、ランダムな相手のアニマ1体に7ダメージ。</t>
    <rPh sb="2" eb="4">
      <t>ジブン</t>
    </rPh>
    <rPh sb="8" eb="11">
      <t>カイシジ</t>
    </rPh>
    <rPh sb="17" eb="19">
      <t>アイテ</t>
    </rPh>
    <rPh sb="24" eb="25">
      <t>タイ</t>
    </rPh>
    <phoneticPr fontId="1"/>
  </si>
  <si>
    <t>1．自分の場の細菌アニマ1体につき、相手の繁栄を－4。</t>
    <rPh sb="2" eb="4">
      <t>ジブン</t>
    </rPh>
    <rPh sb="5" eb="6">
      <t>バ</t>
    </rPh>
    <rPh sb="7" eb="9">
      <t>サイキン</t>
    </rPh>
    <rPh sb="13" eb="14">
      <t>タイ</t>
    </rPh>
    <rPh sb="18" eb="20">
      <t>アイテ</t>
    </rPh>
    <rPh sb="21" eb="23">
      <t>ハンエイ</t>
    </rPh>
    <phoneticPr fontId="1"/>
  </si>
  <si>
    <t>窮鼠猫を噛む</t>
    <rPh sb="0" eb="3">
      <t>キュウソネコ</t>
    </rPh>
    <rPh sb="4" eb="5">
      <t>カ</t>
    </rPh>
    <phoneticPr fontId="1"/>
  </si>
  <si>
    <t>自分のアニマ全ての残り体力の合計値が10以下の時、使用可能。
1．相手のアニマ全てに50ダメージ。</t>
    <rPh sb="0" eb="2">
      <t>ジブン</t>
    </rPh>
    <rPh sb="6" eb="7">
      <t>スベ</t>
    </rPh>
    <rPh sb="9" eb="10">
      <t>ノコ</t>
    </rPh>
    <rPh sb="11" eb="13">
      <t>タイリョク</t>
    </rPh>
    <rPh sb="14" eb="17">
      <t>ゴウケイチ</t>
    </rPh>
    <rPh sb="20" eb="22">
      <t>イカ</t>
    </rPh>
    <rPh sb="23" eb="24">
      <t>トキ</t>
    </rPh>
    <rPh sb="25" eb="27">
      <t>シヨウ</t>
    </rPh>
    <rPh sb="27" eb="29">
      <t>カノウ</t>
    </rPh>
    <rPh sb="33" eb="35">
      <t>アイテ</t>
    </rPh>
    <rPh sb="39" eb="40">
      <t>スベ</t>
    </rPh>
    <phoneticPr fontId="1"/>
  </si>
  <si>
    <t>切り札</t>
    <rPh sb="0" eb="1">
      <t>キ</t>
    </rPh>
    <rPh sb="2" eb="3">
      <t>フダ</t>
    </rPh>
    <phoneticPr fontId="1"/>
  </si>
  <si>
    <t>自分の手札が1枚の時、使用可能。
1．相手のアニマ1体を選択する。そのアニマを捨て札に送る。</t>
    <rPh sb="0" eb="2">
      <t>ジブン</t>
    </rPh>
    <rPh sb="3" eb="5">
      <t>テフダ</t>
    </rPh>
    <rPh sb="7" eb="8">
      <t>マイ</t>
    </rPh>
    <rPh sb="9" eb="10">
      <t>トキ</t>
    </rPh>
    <rPh sb="11" eb="13">
      <t>シヨウ</t>
    </rPh>
    <rPh sb="13" eb="15">
      <t>カノウ</t>
    </rPh>
    <rPh sb="19" eb="21">
      <t>アイテ</t>
    </rPh>
    <rPh sb="26" eb="27">
      <t>タイ</t>
    </rPh>
    <rPh sb="28" eb="30">
      <t>センタク</t>
    </rPh>
    <rPh sb="39" eb="40">
      <t>ス</t>
    </rPh>
    <rPh sb="41" eb="42">
      <t>フダ</t>
    </rPh>
    <rPh sb="43" eb="44">
      <t>オク</t>
    </rPh>
    <phoneticPr fontId="1"/>
  </si>
  <si>
    <t>大きくなった恐竜</t>
    <rPh sb="0" eb="1">
      <t>オオ</t>
    </rPh>
    <rPh sb="6" eb="8">
      <t>キョウリュウ</t>
    </rPh>
    <phoneticPr fontId="1"/>
  </si>
  <si>
    <t>種族</t>
    <rPh sb="0" eb="2">
      <t>シュゾク</t>
    </rPh>
    <phoneticPr fontId="1"/>
  </si>
  <si>
    <t>恐竜</t>
    <rPh sb="0" eb="2">
      <t>キョウリュウ</t>
    </rPh>
    <phoneticPr fontId="1"/>
  </si>
  <si>
    <t>聳える塔</t>
    <rPh sb="0" eb="1">
      <t>ソビ</t>
    </rPh>
    <rPh sb="3" eb="4">
      <t>トウ</t>
    </rPh>
    <phoneticPr fontId="1"/>
  </si>
  <si>
    <t>見上げる塔</t>
    <rPh sb="0" eb="2">
      <t>ミア</t>
    </rPh>
    <rPh sb="4" eb="5">
      <t>トウ</t>
    </rPh>
    <phoneticPr fontId="1"/>
  </si>
  <si>
    <t>天に届く塔</t>
    <rPh sb="0" eb="1">
      <t>テン</t>
    </rPh>
    <rPh sb="2" eb="3">
      <t>トド</t>
    </rPh>
    <rPh sb="4" eb="5">
      <t>トウ</t>
    </rPh>
    <phoneticPr fontId="1"/>
  </si>
  <si>
    <t>大天使像</t>
    <rPh sb="0" eb="3">
      <t>ダイテンシ</t>
    </rPh>
    <rPh sb="3" eb="4">
      <t>ゾウ</t>
    </rPh>
    <phoneticPr fontId="1"/>
  </si>
  <si>
    <t>大天使</t>
    <rPh sb="0" eb="3">
      <t>ダイテンシ</t>
    </rPh>
    <phoneticPr fontId="1"/>
  </si>
  <si>
    <t>設計図</t>
    <rPh sb="0" eb="3">
      <t>セッケイズ</t>
    </rPh>
    <phoneticPr fontId="1"/>
  </si>
  <si>
    <t>1．山札からランダムな構造オーナメントカード1枚を手札に加える。</t>
    <rPh sb="2" eb="3">
      <t>ヤマ</t>
    </rPh>
    <rPh sb="3" eb="4">
      <t>フダ</t>
    </rPh>
    <rPh sb="11" eb="13">
      <t>コウゾウ</t>
    </rPh>
    <rPh sb="23" eb="24">
      <t>マイ</t>
    </rPh>
    <rPh sb="25" eb="27">
      <t>テフダ</t>
    </rPh>
    <rPh sb="28" eb="29">
      <t>クワ</t>
    </rPh>
    <phoneticPr fontId="1"/>
  </si>
  <si>
    <t>1．自分のターン終了時、ランダムな相手のアニマ1体に11ダメージ。</t>
    <rPh sb="2" eb="4">
      <t>ジブン</t>
    </rPh>
    <rPh sb="8" eb="11">
      <t>シュウリョウジ</t>
    </rPh>
    <rPh sb="17" eb="19">
      <t>アイテ</t>
    </rPh>
    <rPh sb="24" eb="25">
      <t>タイ</t>
    </rPh>
    <phoneticPr fontId="1"/>
  </si>
  <si>
    <t>1．このアニマの攻撃・捧身時、相手の場のカード全てに7ダメージ。</t>
    <rPh sb="8" eb="10">
      <t>コウゲキ</t>
    </rPh>
    <rPh sb="11" eb="13">
      <t>ホウシン</t>
    </rPh>
    <rPh sb="13" eb="14">
      <t>ジ</t>
    </rPh>
    <rPh sb="15" eb="17">
      <t>アイテ</t>
    </rPh>
    <rPh sb="18" eb="19">
      <t>バ</t>
    </rPh>
    <rPh sb="23" eb="24">
      <t>スベ</t>
    </rPh>
    <phoneticPr fontId="1"/>
  </si>
  <si>
    <t>1．相手のアニマ全てを毒：4にする。</t>
    <rPh sb="2" eb="4">
      <t>アイテ</t>
    </rPh>
    <rPh sb="8" eb="9">
      <t>スベ</t>
    </rPh>
    <rPh sb="11" eb="12">
      <t>ドク</t>
    </rPh>
    <phoneticPr fontId="1"/>
  </si>
  <si>
    <t>毒ガス</t>
    <rPh sb="0" eb="1">
      <t>ドク</t>
    </rPh>
    <phoneticPr fontId="1"/>
  </si>
  <si>
    <t>防衛ロボット</t>
    <rPh sb="0" eb="2">
      <t>ボウエイ</t>
    </rPh>
    <phoneticPr fontId="1"/>
  </si>
  <si>
    <t>1．このアニマの対峙時、繁栄＋7。
2．このアニマの捧身時、このアニマを捨て札に送る。</t>
    <rPh sb="8" eb="10">
      <t>タイジ</t>
    </rPh>
    <rPh sb="10" eb="11">
      <t>ジ</t>
    </rPh>
    <rPh sb="12" eb="14">
      <t>ハンエイ</t>
    </rPh>
    <rPh sb="26" eb="28">
      <t>ホウシン</t>
    </rPh>
    <rPh sb="28" eb="29">
      <t>ジ</t>
    </rPh>
    <rPh sb="36" eb="37">
      <t>ス</t>
    </rPh>
    <rPh sb="38" eb="39">
      <t>フダ</t>
    </rPh>
    <rPh sb="40" eb="41">
      <t>オク</t>
    </rPh>
    <phoneticPr fontId="1"/>
  </si>
  <si>
    <t>繁殖菌</t>
    <rPh sb="0" eb="2">
      <t>ハンショク</t>
    </rPh>
    <rPh sb="2" eb="3">
      <t>キン</t>
    </rPh>
    <phoneticPr fontId="1"/>
  </si>
  <si>
    <t>アニマの攻撃で受けるダメージが半分（切り上げ）になる。</t>
    <rPh sb="4" eb="6">
      <t>コウゲキ</t>
    </rPh>
    <rPh sb="7" eb="8">
      <t>ウ</t>
    </rPh>
    <rPh sb="15" eb="17">
      <t>ハンブン</t>
    </rPh>
    <rPh sb="18" eb="19">
      <t>キ</t>
    </rPh>
    <rPh sb="20" eb="21">
      <t>ア</t>
    </rPh>
    <phoneticPr fontId="1"/>
  </si>
  <si>
    <t>邪教の儀式</t>
    <rPh sb="0" eb="2">
      <t>ジャキョウ</t>
    </rPh>
    <rPh sb="3" eb="5">
      <t>ギシキ</t>
    </rPh>
    <phoneticPr fontId="1"/>
  </si>
  <si>
    <t>呪詛</t>
    <rPh sb="0" eb="2">
      <t>ジュソ</t>
    </rPh>
    <phoneticPr fontId="1"/>
  </si>
  <si>
    <t>1．相手のアニマ1体を選択する。そのアニマを呪い：2にする。</t>
    <rPh sb="2" eb="4">
      <t>アイテ</t>
    </rPh>
    <rPh sb="9" eb="10">
      <t>タイ</t>
    </rPh>
    <rPh sb="11" eb="13">
      <t>センタク</t>
    </rPh>
    <rPh sb="22" eb="23">
      <t>ノロ</t>
    </rPh>
    <phoneticPr fontId="1"/>
  </si>
  <si>
    <t>1．自分のターン終了時、繁栄が70未満ならば繁栄を＋7、70以上ならばこのオーナメントを捨て札に送る。
2．このオーナメントが捨て札に送られる時、互いのアニマ全てに7ダメージ。</t>
    <rPh sb="2" eb="4">
      <t>ジブン</t>
    </rPh>
    <rPh sb="8" eb="11">
      <t>シュウリョウジ</t>
    </rPh>
    <rPh sb="12" eb="14">
      <t>ハンエイ</t>
    </rPh>
    <rPh sb="17" eb="19">
      <t>ミマン</t>
    </rPh>
    <rPh sb="22" eb="24">
      <t>ハンエイ</t>
    </rPh>
    <rPh sb="30" eb="32">
      <t>イジョウ</t>
    </rPh>
    <rPh sb="44" eb="45">
      <t>ス</t>
    </rPh>
    <rPh sb="46" eb="47">
      <t>フダ</t>
    </rPh>
    <rPh sb="48" eb="49">
      <t>オク</t>
    </rPh>
    <rPh sb="63" eb="64">
      <t>ス</t>
    </rPh>
    <rPh sb="65" eb="66">
      <t>フダ</t>
    </rPh>
    <rPh sb="67" eb="68">
      <t>オク</t>
    </rPh>
    <rPh sb="71" eb="72">
      <t>トキ</t>
    </rPh>
    <rPh sb="73" eb="74">
      <t>タガ</t>
    </rPh>
    <rPh sb="79" eb="80">
      <t>スベ</t>
    </rPh>
    <phoneticPr fontId="1"/>
  </si>
  <si>
    <t>始祖鳥</t>
    <rPh sb="0" eb="3">
      <t>シソチョウ</t>
    </rPh>
    <phoneticPr fontId="1"/>
  </si>
  <si>
    <t>巨大隕石</t>
    <rPh sb="0" eb="2">
      <t>キョダイ</t>
    </rPh>
    <rPh sb="2" eb="4">
      <t>インセキ</t>
    </rPh>
    <phoneticPr fontId="1"/>
  </si>
  <si>
    <t>古代の種</t>
    <rPh sb="0" eb="2">
      <t>コダイ</t>
    </rPh>
    <rPh sb="3" eb="4">
      <t>タネ</t>
    </rPh>
    <phoneticPr fontId="1"/>
  </si>
  <si>
    <t>1．自分のアニマ1体を選択する。そのアニマの体力を5回復し、自分のツリーを＋1。</t>
    <rPh sb="2" eb="4">
      <t>ジブン</t>
    </rPh>
    <rPh sb="9" eb="10">
      <t>タイ</t>
    </rPh>
    <rPh sb="11" eb="13">
      <t>センタク</t>
    </rPh>
    <rPh sb="22" eb="24">
      <t>タイリョク</t>
    </rPh>
    <rPh sb="26" eb="28">
      <t>カイフク</t>
    </rPh>
    <rPh sb="30" eb="32">
      <t>ジブン</t>
    </rPh>
    <phoneticPr fontId="1"/>
  </si>
  <si>
    <t>1．グレイスの効果を受けない。</t>
    <rPh sb="7" eb="9">
      <t>コウカ</t>
    </rPh>
    <rPh sb="10" eb="11">
      <t>ウ</t>
    </rPh>
    <phoneticPr fontId="1"/>
  </si>
  <si>
    <t>アノマロカリス</t>
    <phoneticPr fontId="1"/>
  </si>
  <si>
    <t>トリケラトプス</t>
    <phoneticPr fontId="1"/>
  </si>
  <si>
    <t>泥</t>
    <rPh sb="0" eb="1">
      <t>デイ</t>
    </rPh>
    <phoneticPr fontId="1"/>
  </si>
  <si>
    <t>レア</t>
    <phoneticPr fontId="1"/>
  </si>
  <si>
    <t>1．相手のアニマ1体を選択する。そのアニマに14ダメージ。</t>
    <rPh sb="2" eb="4">
      <t>アイテ</t>
    </rPh>
    <rPh sb="9" eb="10">
      <t>タイ</t>
    </rPh>
    <rPh sb="11" eb="13">
      <t>センタク</t>
    </rPh>
    <phoneticPr fontId="1"/>
  </si>
  <si>
    <t>1．相手のカード1枚に13ダメージ。</t>
    <rPh sb="2" eb="4">
      <t>アイテ</t>
    </rPh>
    <rPh sb="9" eb="10">
      <t>マイ</t>
    </rPh>
    <phoneticPr fontId="1"/>
  </si>
  <si>
    <t>1．相手のアニマ全てに15ダメージ。</t>
    <rPh sb="2" eb="4">
      <t>アイテ</t>
    </rPh>
    <rPh sb="8" eb="9">
      <t>スベ</t>
    </rPh>
    <phoneticPr fontId="1"/>
  </si>
  <si>
    <t>病原菌</t>
    <rPh sb="0" eb="3">
      <t>ビョウゲンキン</t>
    </rPh>
    <phoneticPr fontId="1"/>
  </si>
  <si>
    <t>隼</t>
    <rPh sb="0" eb="1">
      <t>ハヤブサ</t>
    </rPh>
    <phoneticPr fontId="1"/>
  </si>
  <si>
    <t>祈り</t>
    <rPh sb="0" eb="1">
      <t>イノ</t>
    </rPh>
    <phoneticPr fontId="1"/>
  </si>
  <si>
    <t>空想属性が主に使用するポイント。
この値の消費によって強力な効果を使用できる。</t>
    <rPh sb="0" eb="2">
      <t>クウソウ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ショウヒ</t>
    </rPh>
    <rPh sb="27" eb="29">
      <t>キョウリョク</t>
    </rPh>
    <rPh sb="30" eb="32">
      <t>コウカ</t>
    </rPh>
    <rPh sb="33" eb="35">
      <t>シヨウ</t>
    </rPh>
    <phoneticPr fontId="1"/>
  </si>
  <si>
    <t>感染</t>
    <rPh sb="0" eb="2">
      <t>カンセン</t>
    </rPh>
    <phoneticPr fontId="1"/>
  </si>
  <si>
    <t>細菌属性が主に使用するポイント。
この値を参照して、効果を使用する。
自分のターン終了時、値が半分になる。</t>
    <rPh sb="0" eb="2">
      <t>サイキン</t>
    </rPh>
    <rPh sb="2" eb="4">
      <t>ゾクセイ</t>
    </rPh>
    <rPh sb="5" eb="6">
      <t>オモ</t>
    </rPh>
    <rPh sb="7" eb="9">
      <t>シヨウ</t>
    </rPh>
    <rPh sb="19" eb="20">
      <t>アタイ</t>
    </rPh>
    <rPh sb="21" eb="23">
      <t>サンショウ</t>
    </rPh>
    <rPh sb="26" eb="28">
      <t>コウカ</t>
    </rPh>
    <rPh sb="29" eb="31">
      <t>シヨウ</t>
    </rPh>
    <rPh sb="35" eb="37">
      <t>ジブン</t>
    </rPh>
    <rPh sb="41" eb="44">
      <t>シュウリョウジ</t>
    </rPh>
    <rPh sb="45" eb="46">
      <t>アタイ</t>
    </rPh>
    <rPh sb="47" eb="49">
      <t>ハンブン</t>
    </rPh>
    <phoneticPr fontId="1"/>
  </si>
  <si>
    <t>1．自分の手札を1枚選択する。そのカードを捨て札に送る。その後、相手のアニマ1体を選択する。そのアニマに16ダメージ。</t>
    <rPh sb="2" eb="4">
      <t>ジブン</t>
    </rPh>
    <rPh sb="5" eb="7">
      <t>テフダ</t>
    </rPh>
    <rPh sb="9" eb="10">
      <t>マイ</t>
    </rPh>
    <rPh sb="10" eb="12">
      <t>センタク</t>
    </rPh>
    <rPh sb="21" eb="22">
      <t>ス</t>
    </rPh>
    <rPh sb="23" eb="24">
      <t>フダ</t>
    </rPh>
    <rPh sb="25" eb="26">
      <t>オク</t>
    </rPh>
    <rPh sb="30" eb="31">
      <t>ゴ</t>
    </rPh>
    <rPh sb="32" eb="34">
      <t>アイテ</t>
    </rPh>
    <rPh sb="39" eb="40">
      <t>タイ</t>
    </rPh>
    <rPh sb="41" eb="43">
      <t>センタク</t>
    </rPh>
    <phoneticPr fontId="1"/>
  </si>
  <si>
    <t>1．自分のアニマ1体を選択する。そのアニマを捨て札に送り、ランダムな相手の手札1枚を山札に戻す。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4" eb="36">
      <t>アイテ</t>
    </rPh>
    <rPh sb="37" eb="39">
      <t>テフダ</t>
    </rPh>
    <rPh sb="40" eb="41">
      <t>マイ</t>
    </rPh>
    <rPh sb="42" eb="43">
      <t>ヤマ</t>
    </rPh>
    <rPh sb="43" eb="44">
      <t>フダ</t>
    </rPh>
    <rPh sb="45" eb="46">
      <t>モド</t>
    </rPh>
    <phoneticPr fontId="1"/>
  </si>
  <si>
    <t>1．相手の手札を確認し、その中から1枚を選択する。そのカードを捨て札に送る。</t>
    <rPh sb="2" eb="4">
      <t>アイテ</t>
    </rPh>
    <rPh sb="5" eb="7">
      <t>テフダ</t>
    </rPh>
    <rPh sb="8" eb="10">
      <t>カクニン</t>
    </rPh>
    <rPh sb="14" eb="15">
      <t>ナカ</t>
    </rPh>
    <rPh sb="18" eb="19">
      <t>マイ</t>
    </rPh>
    <rPh sb="20" eb="22">
      <t>センタク</t>
    </rPh>
    <rPh sb="31" eb="32">
      <t>ス</t>
    </rPh>
    <rPh sb="33" eb="34">
      <t>フダ</t>
    </rPh>
    <rPh sb="35" eb="36">
      <t>オク</t>
    </rPh>
    <phoneticPr fontId="1"/>
  </si>
  <si>
    <t>1．「病原菌」1体を召喚する。</t>
    <rPh sb="3" eb="6">
      <t>ビョウゲンキン</t>
    </rPh>
    <rPh sb="8" eb="9">
      <t>タイ</t>
    </rPh>
    <rPh sb="10" eb="12">
      <t>ショウカン</t>
    </rPh>
    <phoneticPr fontId="1"/>
  </si>
  <si>
    <t>自分の場のカードのシードの合計が10以上の時、使用可能。
1．互いの場のカード全てに50ダメージ、互いの繁栄を－15、自分のツリーを－1。</t>
    <rPh sb="0" eb="2">
      <t>ジブン</t>
    </rPh>
    <rPh sb="3" eb="4">
      <t>バ</t>
    </rPh>
    <rPh sb="13" eb="15">
      <t>ゴウケイ</t>
    </rPh>
    <rPh sb="18" eb="20">
      <t>イジョウ</t>
    </rPh>
    <rPh sb="21" eb="22">
      <t>トキ</t>
    </rPh>
    <rPh sb="23" eb="25">
      <t>シヨウ</t>
    </rPh>
    <rPh sb="25" eb="27">
      <t>カノウ</t>
    </rPh>
    <rPh sb="31" eb="32">
      <t>タガ</t>
    </rPh>
    <rPh sb="34" eb="35">
      <t>バ</t>
    </rPh>
    <rPh sb="39" eb="40">
      <t>スベ</t>
    </rPh>
    <rPh sb="49" eb="50">
      <t>タガ</t>
    </rPh>
    <rPh sb="52" eb="54">
      <t>ハンエイ</t>
    </rPh>
    <rPh sb="59" eb="61">
      <t>ジブン</t>
    </rPh>
    <phoneticPr fontId="1"/>
  </si>
  <si>
    <t>幼獣</t>
    <rPh sb="0" eb="2">
      <t>ヨウジュウ</t>
    </rPh>
    <phoneticPr fontId="1"/>
  </si>
  <si>
    <t>三葉虫</t>
    <rPh sb="0" eb="3">
      <t>サンヨウチュウ</t>
    </rPh>
    <phoneticPr fontId="1"/>
  </si>
  <si>
    <t>1．このアニマの対峙時、このアニマが受けるダメージを－4。</t>
    <rPh sb="8" eb="10">
      <t>タイジ</t>
    </rPh>
    <rPh sb="10" eb="11">
      <t>ジ</t>
    </rPh>
    <rPh sb="18" eb="19">
      <t>ウ</t>
    </rPh>
    <phoneticPr fontId="1"/>
  </si>
  <si>
    <t>X</t>
    <phoneticPr fontId="1"/>
  </si>
  <si>
    <t>蔓延る感染体</t>
    <rPh sb="0" eb="2">
      <t>ハビコ</t>
    </rPh>
    <rPh sb="3" eb="5">
      <t>カンセン</t>
    </rPh>
    <rPh sb="5" eb="6">
      <t>タイ</t>
    </rPh>
    <phoneticPr fontId="1"/>
  </si>
  <si>
    <t>飛び散る感染体</t>
    <rPh sb="0" eb="1">
      <t>ト</t>
    </rPh>
    <rPh sb="2" eb="3">
      <t>チ</t>
    </rPh>
    <rPh sb="4" eb="6">
      <t>カンセン</t>
    </rPh>
    <rPh sb="6" eb="7">
      <t>タイ</t>
    </rPh>
    <phoneticPr fontId="1"/>
  </si>
  <si>
    <t>襲い来る感染体</t>
    <rPh sb="0" eb="1">
      <t>オソ</t>
    </rPh>
    <rPh sb="2" eb="3">
      <t>ク</t>
    </rPh>
    <rPh sb="4" eb="6">
      <t>カンセン</t>
    </rPh>
    <rPh sb="6" eb="7">
      <t>タイ</t>
    </rPh>
    <phoneticPr fontId="1"/>
  </si>
  <si>
    <t>蠢く感染体</t>
    <rPh sb="0" eb="1">
      <t>ウゴメ</t>
    </rPh>
    <rPh sb="2" eb="5">
      <t>カンセンタイ</t>
    </rPh>
    <phoneticPr fontId="1"/>
  </si>
  <si>
    <t>ノーマル</t>
    <phoneticPr fontId="1"/>
  </si>
  <si>
    <t>呑み込む感染体</t>
    <rPh sb="0" eb="1">
      <t>ノ</t>
    </rPh>
    <rPh sb="2" eb="3">
      <t>コ</t>
    </rPh>
    <rPh sb="4" eb="7">
      <t>カンセンタイ</t>
    </rPh>
    <phoneticPr fontId="1"/>
  </si>
  <si>
    <t>感染菌床</t>
    <rPh sb="0" eb="2">
      <t>カンセン</t>
    </rPh>
    <rPh sb="2" eb="4">
      <t>キンショウ</t>
    </rPh>
    <phoneticPr fontId="1"/>
  </si>
  <si>
    <t>感染母胎</t>
    <rPh sb="0" eb="2">
      <t>カンセン</t>
    </rPh>
    <rPh sb="2" eb="4">
      <t>ボタイ</t>
    </rPh>
    <phoneticPr fontId="1"/>
  </si>
  <si>
    <t>感染体</t>
    <rPh sb="0" eb="3">
      <t>カンセンタイ</t>
    </rPh>
    <phoneticPr fontId="1"/>
  </si>
  <si>
    <t>肥大する感染体</t>
    <rPh sb="0" eb="2">
      <t>ヒダイ</t>
    </rPh>
    <rPh sb="4" eb="7">
      <t>カンセンタイ</t>
    </rPh>
    <phoneticPr fontId="1"/>
  </si>
  <si>
    <t>1．相手のアニマ1体を選択する。そのアニマをスタン：1にする。このターンを終了する。</t>
    <rPh sb="2" eb="4">
      <t>アイテ</t>
    </rPh>
    <rPh sb="9" eb="10">
      <t>タイ</t>
    </rPh>
    <rPh sb="11" eb="13">
      <t>センタク</t>
    </rPh>
    <rPh sb="37" eb="39">
      <t>シュウリョウ</t>
    </rPh>
    <phoneticPr fontId="1"/>
  </si>
  <si>
    <t>感染拡大</t>
    <rPh sb="0" eb="2">
      <t>カンセン</t>
    </rPh>
    <rPh sb="2" eb="4">
      <t>カクダイ</t>
    </rPh>
    <phoneticPr fontId="1"/>
  </si>
  <si>
    <t>リミテッド</t>
    <phoneticPr fontId="1"/>
  </si>
  <si>
    <t>1．自分のターン開始時、『祈り』が6以下ならば、『祈り』を＋1、『祈り』が7以上ならば、『祈り』を0にして「大天使」1枚を手札に加える。</t>
    <rPh sb="2" eb="4">
      <t>ジブン</t>
    </rPh>
    <rPh sb="8" eb="11">
      <t>カイシジ</t>
    </rPh>
    <rPh sb="13" eb="14">
      <t>イノ</t>
    </rPh>
    <rPh sb="18" eb="20">
      <t>イカ</t>
    </rPh>
    <rPh sb="25" eb="26">
      <t>イノ</t>
    </rPh>
    <rPh sb="33" eb="34">
      <t>イノ</t>
    </rPh>
    <rPh sb="38" eb="40">
      <t>イジョウ</t>
    </rPh>
    <rPh sb="45" eb="46">
      <t>イノ</t>
    </rPh>
    <rPh sb="54" eb="57">
      <t>ダイテンシ</t>
    </rPh>
    <rPh sb="59" eb="60">
      <t>マイ</t>
    </rPh>
    <rPh sb="61" eb="63">
      <t>テフダ</t>
    </rPh>
    <rPh sb="64" eb="65">
      <t>クワ</t>
    </rPh>
    <phoneticPr fontId="1"/>
  </si>
  <si>
    <t>『祈り』が4以上の時、使用可能。
1．『祈り』を－4し、「ペガサス」1体を召喚する。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35" eb="36">
      <t>タイ</t>
    </rPh>
    <rPh sb="37" eb="39">
      <t>ショウカン</t>
    </rPh>
    <phoneticPr fontId="1"/>
  </si>
  <si>
    <t>『祈り』が1以上の時、使用可能。
1．『祈り』を－1、繁栄を＋10。</t>
    <rPh sb="1" eb="2">
      <t>イノ</t>
    </rPh>
    <rPh sb="6" eb="8">
      <t>イジョウ</t>
    </rPh>
    <rPh sb="9" eb="10">
      <t>トキ</t>
    </rPh>
    <rPh sb="11" eb="13">
      <t>シヨウ</t>
    </rPh>
    <rPh sb="13" eb="15">
      <t>カノウ</t>
    </rPh>
    <rPh sb="20" eb="21">
      <t>イノ</t>
    </rPh>
    <rPh sb="27" eb="29">
      <t>ハンエイ</t>
    </rPh>
    <phoneticPr fontId="1"/>
  </si>
  <si>
    <t>1．Xは『感染』と同じ値。</t>
    <rPh sb="9" eb="10">
      <t>オナ</t>
    </rPh>
    <rPh sb="11" eb="12">
      <t>アタイ</t>
    </rPh>
    <phoneticPr fontId="1"/>
  </si>
  <si>
    <t>1．相手のアニマ1体を選択する。そのアニマをスタン：1にし、『感染』＋15、「肥大する感染体」1体を召喚する。</t>
    <rPh sb="2" eb="4">
      <t>アイテ</t>
    </rPh>
    <rPh sb="9" eb="10">
      <t>タイ</t>
    </rPh>
    <rPh sb="11" eb="13">
      <t>センタク</t>
    </rPh>
    <rPh sb="39" eb="41">
      <t>ヒダイ</t>
    </rPh>
    <rPh sb="43" eb="46">
      <t>カンセンタイ</t>
    </rPh>
    <rPh sb="48" eb="49">
      <t>タイ</t>
    </rPh>
    <rPh sb="50" eb="52">
      <t>ショウカン</t>
    </rPh>
    <phoneticPr fontId="1"/>
  </si>
  <si>
    <t>1．相手の場のアニマ1体につき、『感染』＋4。</t>
  </si>
  <si>
    <t>1．自分のターン終了時、『感染』が30以上ならば、『感染』を0にし、「肥大する感染体」2体を召喚する。</t>
    <rPh sb="2" eb="4">
      <t>ジブン</t>
    </rPh>
    <rPh sb="8" eb="11">
      <t>シュウリョウジ</t>
    </rPh>
    <rPh sb="19" eb="21">
      <t>イジョウ</t>
    </rPh>
    <rPh sb="35" eb="37">
      <t>ヒダイ</t>
    </rPh>
    <rPh sb="39" eb="42">
      <t>カンセンタイ</t>
    </rPh>
    <rPh sb="44" eb="45">
      <t>タイ</t>
    </rPh>
    <rPh sb="46" eb="48">
      <t>ショウカン</t>
    </rPh>
    <phoneticPr fontId="1"/>
  </si>
  <si>
    <t>ケルベロス</t>
    <phoneticPr fontId="1"/>
  </si>
  <si>
    <t>膨らむ想像</t>
    <rPh sb="0" eb="1">
      <t>フク</t>
    </rPh>
    <rPh sb="3" eb="5">
      <t>ソウゾウ</t>
    </rPh>
    <phoneticPr fontId="1"/>
  </si>
  <si>
    <t>1．自分の山札からランダムな空想グレイス2枚を手札に加える。</t>
    <rPh sb="2" eb="4">
      <t>ジブン</t>
    </rPh>
    <rPh sb="5" eb="6">
      <t>ヤマ</t>
    </rPh>
    <rPh sb="6" eb="7">
      <t>フダ</t>
    </rPh>
    <rPh sb="14" eb="16">
      <t>クウソウ</t>
    </rPh>
    <rPh sb="21" eb="22">
      <t>マイ</t>
    </rPh>
    <rPh sb="23" eb="25">
      <t>テフダ</t>
    </rPh>
    <rPh sb="26" eb="27">
      <t>クワ</t>
    </rPh>
    <phoneticPr fontId="1"/>
  </si>
  <si>
    <t>神父</t>
    <rPh sb="0" eb="2">
      <t>シンプ</t>
    </rPh>
    <phoneticPr fontId="1"/>
  </si>
  <si>
    <t>1．自分のアニマ1体を選択する。そのアニマを捨て札に送り、『祈り』を＋2。ランダムな相手のアニマ1体を呪い：2にし、相手の繁栄を－10。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42" eb="44">
      <t>アイテ</t>
    </rPh>
    <rPh sb="49" eb="50">
      <t>タイ</t>
    </rPh>
    <rPh sb="51" eb="52">
      <t>ノロ</t>
    </rPh>
    <rPh sb="58" eb="60">
      <t>アイテ</t>
    </rPh>
    <rPh sb="61" eb="63">
      <t>ハンエイ</t>
    </rPh>
    <phoneticPr fontId="1"/>
  </si>
  <si>
    <t>1．相手のアニマ全てを虚弱：2にする。</t>
    <rPh sb="2" eb="4">
      <t>アイテ</t>
    </rPh>
    <rPh sb="8" eb="9">
      <t>スベ</t>
    </rPh>
    <rPh sb="11" eb="13">
      <t>キョジャク</t>
    </rPh>
    <phoneticPr fontId="1"/>
  </si>
  <si>
    <t>夢魘</t>
    <rPh sb="0" eb="1">
      <t>ユメ</t>
    </rPh>
    <rPh sb="1" eb="2">
      <t>ウナ</t>
    </rPh>
    <phoneticPr fontId="1"/>
  </si>
  <si>
    <t>ハイエナ</t>
    <phoneticPr fontId="1"/>
  </si>
  <si>
    <t>牙針蟻</t>
    <rPh sb="0" eb="1">
      <t>キバ</t>
    </rPh>
    <rPh sb="1" eb="2">
      <t>ハリ</t>
    </rPh>
    <rPh sb="2" eb="3">
      <t>アリ</t>
    </rPh>
    <phoneticPr fontId="1"/>
  </si>
  <si>
    <t>女王蟻</t>
    <rPh sb="0" eb="2">
      <t>ジョウオウ</t>
    </rPh>
    <rPh sb="2" eb="3">
      <t>アリ</t>
    </rPh>
    <phoneticPr fontId="1"/>
  </si>
  <si>
    <t>働き蟻</t>
    <rPh sb="0" eb="1">
      <t>ハタラ</t>
    </rPh>
    <rPh sb="2" eb="3">
      <t>アリ</t>
    </rPh>
    <phoneticPr fontId="1"/>
  </si>
  <si>
    <t>火蟻</t>
    <rPh sb="0" eb="2">
      <t>ヒアリ</t>
    </rPh>
    <phoneticPr fontId="1"/>
  </si>
  <si>
    <t>蟻の巣</t>
    <rPh sb="0" eb="1">
      <t>アリ</t>
    </rPh>
    <rPh sb="2" eb="3">
      <t>ス</t>
    </rPh>
    <phoneticPr fontId="1"/>
  </si>
  <si>
    <t>1．自分のターン開始時、「働き蟻」1体を召喚する。</t>
    <rPh sb="2" eb="4">
      <t>ジブン</t>
    </rPh>
    <rPh sb="8" eb="11">
      <t>カイシジ</t>
    </rPh>
    <rPh sb="13" eb="14">
      <t>ハタラ</t>
    </rPh>
    <rPh sb="15" eb="16">
      <t>アリ</t>
    </rPh>
    <rPh sb="18" eb="19">
      <t>タイ</t>
    </rPh>
    <rPh sb="20" eb="22">
      <t>ショウカン</t>
    </rPh>
    <phoneticPr fontId="1"/>
  </si>
  <si>
    <t>有刺鉄線</t>
    <rPh sb="0" eb="2">
      <t>ユウシ</t>
    </rPh>
    <rPh sb="2" eb="4">
      <t>テッセン</t>
    </rPh>
    <phoneticPr fontId="1"/>
  </si>
  <si>
    <t>1．相手のアニマの攻撃時、攻撃対象が構造オーナメントならば、そのアニマに10ダメージ。</t>
    <rPh sb="2" eb="4">
      <t>アイテ</t>
    </rPh>
    <rPh sb="9" eb="11">
      <t>コウゲキ</t>
    </rPh>
    <rPh sb="11" eb="12">
      <t>ジ</t>
    </rPh>
    <rPh sb="13" eb="15">
      <t>コウゲキ</t>
    </rPh>
    <rPh sb="15" eb="17">
      <t>タイショウ</t>
    </rPh>
    <rPh sb="18" eb="20">
      <t>コウゾウ</t>
    </rPh>
    <phoneticPr fontId="1"/>
  </si>
  <si>
    <t>1．自分の山札にリミテッドカードが3枚以上あれば、その中からランダムに1枚を手札に加え、なければ1枚ドロー。</t>
    <rPh sb="2" eb="4">
      <t>ジブン</t>
    </rPh>
    <rPh sb="5" eb="6">
      <t>ヤマ</t>
    </rPh>
    <rPh sb="6" eb="7">
      <t>フダ</t>
    </rPh>
    <rPh sb="18" eb="19">
      <t>マイ</t>
    </rPh>
    <rPh sb="19" eb="21">
      <t>イジョウ</t>
    </rPh>
    <rPh sb="27" eb="28">
      <t>ナカ</t>
    </rPh>
    <rPh sb="36" eb="37">
      <t>マイ</t>
    </rPh>
    <rPh sb="38" eb="40">
      <t>テフダ</t>
    </rPh>
    <rPh sb="41" eb="42">
      <t>クワ</t>
    </rPh>
    <rPh sb="49" eb="50">
      <t>マイ</t>
    </rPh>
    <phoneticPr fontId="1"/>
  </si>
  <si>
    <t>早成</t>
    <rPh sb="0" eb="2">
      <t>ソウセイ</t>
    </rPh>
    <phoneticPr fontId="1"/>
  </si>
  <si>
    <t>妨害</t>
    <rPh sb="0" eb="2">
      <t>ボウガイ</t>
    </rPh>
    <phoneticPr fontId="1"/>
  </si>
  <si>
    <t>殉難</t>
    <rPh sb="0" eb="2">
      <t>ジュンナン</t>
    </rPh>
    <phoneticPr fontId="1"/>
  </si>
  <si>
    <t>アニマやオーナメントが捨て札に送られた時に発動する効果。</t>
    <rPh sb="11" eb="12">
      <t>ス</t>
    </rPh>
    <rPh sb="13" eb="14">
      <t>フダ</t>
    </rPh>
    <rPh sb="15" eb="16">
      <t>オク</t>
    </rPh>
    <rPh sb="19" eb="20">
      <t>トキ</t>
    </rPh>
    <rPh sb="21" eb="23">
      <t>ハツドウ</t>
    </rPh>
    <rPh sb="25" eb="27">
      <t>コウカ</t>
    </rPh>
    <phoneticPr fontId="1"/>
  </si>
  <si>
    <t>1．アニマ1体を選択する。そのアニマを+0/+0/+10し、脆弱、呪い：2にする。</t>
    <rPh sb="6" eb="7">
      <t>タイ</t>
    </rPh>
    <rPh sb="8" eb="10">
      <t>センタク</t>
    </rPh>
    <rPh sb="30" eb="32">
      <t>ゼイジャク</t>
    </rPh>
    <rPh sb="33" eb="34">
      <t>ノロ</t>
    </rPh>
    <phoneticPr fontId="1"/>
  </si>
  <si>
    <t>愚かな契約</t>
    <rPh sb="0" eb="1">
      <t>オロ</t>
    </rPh>
    <rPh sb="3" eb="5">
      <t>ケイヤク</t>
    </rPh>
    <phoneticPr fontId="1"/>
  </si>
  <si>
    <t>悪魔</t>
    <rPh sb="0" eb="2">
      <t>アクマ</t>
    </rPh>
    <phoneticPr fontId="1"/>
  </si>
  <si>
    <t>巨鯨</t>
    <rPh sb="0" eb="2">
      <t>キョゲイ</t>
    </rPh>
    <phoneticPr fontId="1"/>
  </si>
  <si>
    <t>感染遺物</t>
    <rPh sb="0" eb="2">
      <t>カンセン</t>
    </rPh>
    <rPh sb="2" eb="4">
      <t>イブツ</t>
    </rPh>
    <phoneticPr fontId="1"/>
  </si>
  <si>
    <t>獣の奏者</t>
    <rPh sb="0" eb="1">
      <t>ケモノ</t>
    </rPh>
    <rPh sb="2" eb="4">
      <t>ソウシャ</t>
    </rPh>
    <phoneticPr fontId="1"/>
  </si>
  <si>
    <t>１．自分の場にある野生アニマの数の４倍の繁栄を得る。</t>
    <rPh sb="2" eb="4">
      <t>ジブン</t>
    </rPh>
    <rPh sb="5" eb="6">
      <t>バ</t>
    </rPh>
    <rPh sb="9" eb="11">
      <t>ヤセイ</t>
    </rPh>
    <rPh sb="15" eb="16">
      <t>カズ</t>
    </rPh>
    <rPh sb="18" eb="19">
      <t>バイ</t>
    </rPh>
    <rPh sb="20" eb="22">
      <t>ハンエイ</t>
    </rPh>
    <rPh sb="23" eb="24">
      <t>エ</t>
    </rPh>
    <phoneticPr fontId="1"/>
  </si>
  <si>
    <t>破壊者</t>
    <rPh sb="0" eb="3">
      <t>ハカイシャ</t>
    </rPh>
    <phoneticPr fontId="1"/>
  </si>
  <si>
    <t>１．孤立。
２．このアニマはオーナメントのみ攻撃できる。</t>
    <rPh sb="2" eb="4">
      <t>コリツ</t>
    </rPh>
    <rPh sb="22" eb="24">
      <t>コウゲキ</t>
    </rPh>
    <phoneticPr fontId="1"/>
  </si>
  <si>
    <t>１．このアニマの攻撃時、場の「プランクトン」全てを捨て札に送り、それら１体につき、このアニマを+1/+1/+1。</t>
    <rPh sb="8" eb="11">
      <t>コウゲキジ</t>
    </rPh>
    <rPh sb="12" eb="13">
      <t>バ</t>
    </rPh>
    <rPh sb="22" eb="23">
      <t>スベ</t>
    </rPh>
    <rPh sb="25" eb="26">
      <t>ス</t>
    </rPh>
    <rPh sb="27" eb="28">
      <t>フダ</t>
    </rPh>
    <rPh sb="29" eb="30">
      <t>オク</t>
    </rPh>
    <rPh sb="36" eb="37">
      <t>タイ</t>
    </rPh>
    <phoneticPr fontId="1"/>
  </si>
  <si>
    <t>鯨骨生物群集</t>
    <rPh sb="0" eb="2">
      <t>ゲイコツ</t>
    </rPh>
    <rPh sb="2" eb="4">
      <t>セイブツ</t>
    </rPh>
    <rPh sb="4" eb="6">
      <t>グンシュウ</t>
    </rPh>
    <phoneticPr fontId="1"/>
  </si>
  <si>
    <t>inf</t>
    <phoneticPr fontId="1"/>
  </si>
  <si>
    <t>このカードは自分の捨て札に「巨鯨」があるときのみ、使用できる。
１．自分のターン終了時、互いの捨て札からランダムな５シード以下のアニマ１体ずつを自分の場に出す。</t>
    <rPh sb="6" eb="8">
      <t>ジブン</t>
    </rPh>
    <rPh sb="9" eb="10">
      <t>ス</t>
    </rPh>
    <rPh sb="11" eb="12">
      <t>フダ</t>
    </rPh>
    <rPh sb="14" eb="16">
      <t>キョゲイ</t>
    </rPh>
    <rPh sb="25" eb="27">
      <t>シヨウ</t>
    </rPh>
    <rPh sb="34" eb="36">
      <t>ジブン</t>
    </rPh>
    <rPh sb="40" eb="42">
      <t>シュウリョウ</t>
    </rPh>
    <rPh sb="42" eb="43">
      <t>ジ</t>
    </rPh>
    <rPh sb="44" eb="45">
      <t>タガ</t>
    </rPh>
    <rPh sb="47" eb="48">
      <t>ス</t>
    </rPh>
    <rPh sb="49" eb="50">
      <t>フダ</t>
    </rPh>
    <rPh sb="61" eb="63">
      <t>イカ</t>
    </rPh>
    <rPh sb="68" eb="69">
      <t>タイ</t>
    </rPh>
    <rPh sb="72" eb="74">
      <t>ジブン</t>
    </rPh>
    <rPh sb="75" eb="76">
      <t>バ</t>
    </rPh>
    <rPh sb="77" eb="78">
      <t>ダ</t>
    </rPh>
    <phoneticPr fontId="1"/>
  </si>
  <si>
    <t>プランクトン</t>
    <phoneticPr fontId="1"/>
  </si>
  <si>
    <t>１．自分のターン終了時、このアニマを捨て札に送る。</t>
    <rPh sb="2" eb="4">
      <t>ジブン</t>
    </rPh>
    <rPh sb="8" eb="11">
      <t>シュウリョウジ</t>
    </rPh>
    <rPh sb="18" eb="19">
      <t>ス</t>
    </rPh>
    <rPh sb="20" eb="21">
      <t>フダ</t>
    </rPh>
    <rPh sb="22" eb="23">
      <t>オク</t>
    </rPh>
    <phoneticPr fontId="1"/>
  </si>
  <si>
    <t>悪意ある感染体</t>
    <rPh sb="0" eb="2">
      <t>アクイ</t>
    </rPh>
    <rPh sb="4" eb="6">
      <t>カンセン</t>
    </rPh>
    <rPh sb="6" eb="7">
      <t>カラダ</t>
    </rPh>
    <phoneticPr fontId="1"/>
  </si>
  <si>
    <t>１．『感染』を+7、ランダムな相手のアニマ1体に７ダメージ。</t>
    <rPh sb="3" eb="5">
      <t>カンセン</t>
    </rPh>
    <rPh sb="15" eb="17">
      <t>アイテ</t>
    </rPh>
    <rPh sb="22" eb="23">
      <t>タイ</t>
    </rPh>
    <phoneticPr fontId="1"/>
  </si>
  <si>
    <t>伝染の気配</t>
    <rPh sb="0" eb="2">
      <t>デンセン</t>
    </rPh>
    <rPh sb="3" eb="5">
      <t>ケハイ</t>
    </rPh>
    <phoneticPr fontId="1"/>
  </si>
  <si>
    <t>１．【殉難】種族：悪魔を持つカードによる発動ならば、ランダムな自分の種族：悪魔を持つアニマ１体を+5/+5/+0。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31" eb="33">
      <t>ジブン</t>
    </rPh>
    <rPh sb="34" eb="36">
      <t>シュゾク</t>
    </rPh>
    <rPh sb="37" eb="39">
      <t>アクマ</t>
    </rPh>
    <rPh sb="40" eb="41">
      <t>モ</t>
    </rPh>
    <rPh sb="46" eb="47">
      <t>タイ</t>
    </rPh>
    <phoneticPr fontId="1"/>
  </si>
  <si>
    <t>1．【殉難】2枚ドロー。</t>
    <rPh sb="7" eb="8">
      <t>マイ</t>
    </rPh>
    <phoneticPr fontId="1"/>
  </si>
  <si>
    <t>1．【殉難】『感染』＋7。</t>
    <phoneticPr fontId="1"/>
  </si>
  <si>
    <t>1．【早成】
2．このアニマの攻撃時、相手の繁栄を－15。</t>
    <rPh sb="15" eb="17">
      <t>コウゲキ</t>
    </rPh>
    <rPh sb="17" eb="18">
      <t>ジ</t>
    </rPh>
    <rPh sb="19" eb="21">
      <t>アイテ</t>
    </rPh>
    <rPh sb="22" eb="24">
      <t>ハンエイ</t>
    </rPh>
    <phoneticPr fontId="1"/>
  </si>
  <si>
    <t>Xは自分の捨て札のアニマの数。
1．【早成】
2．このアニマは3回まで攻撃できる。</t>
    <rPh sb="2" eb="4">
      <t>ジブン</t>
    </rPh>
    <rPh sb="5" eb="6">
      <t>ス</t>
    </rPh>
    <rPh sb="7" eb="8">
      <t>フダ</t>
    </rPh>
    <rPh sb="13" eb="14">
      <t>カズ</t>
    </rPh>
    <rPh sb="32" eb="33">
      <t>カイ</t>
    </rPh>
    <rPh sb="35" eb="37">
      <t>コウゲキ</t>
    </rPh>
    <phoneticPr fontId="1"/>
  </si>
  <si>
    <t>1．【早成】</t>
    <phoneticPr fontId="1"/>
  </si>
  <si>
    <t>1．【早成】
2．ターン終了時、このターン中にこのアニマが相手のカードを倒していなければ、このアニマを捨て札に送る。</t>
    <rPh sb="12" eb="15">
      <t>シュウリョウジ</t>
    </rPh>
    <rPh sb="21" eb="22">
      <t>チュウ</t>
    </rPh>
    <rPh sb="29" eb="31">
      <t>アイテ</t>
    </rPh>
    <rPh sb="36" eb="37">
      <t>タオ</t>
    </rPh>
    <rPh sb="51" eb="52">
      <t>ス</t>
    </rPh>
    <rPh sb="53" eb="54">
      <t>フダ</t>
    </rPh>
    <rPh sb="55" eb="56">
      <t>オク</t>
    </rPh>
    <phoneticPr fontId="1"/>
  </si>
  <si>
    <t>1．【早成】
2．自分のターン終了時、このアニマは手札に戻る。</t>
    <rPh sb="9" eb="11">
      <t>ジブン</t>
    </rPh>
    <rPh sb="15" eb="18">
      <t>シュウリョウジ</t>
    </rPh>
    <rPh sb="25" eb="27">
      <t>テフダ</t>
    </rPh>
    <rPh sb="28" eb="29">
      <t>モド</t>
    </rPh>
    <phoneticPr fontId="1"/>
  </si>
  <si>
    <t>1．【早成】
2．妨害の効果を受けない。</t>
    <rPh sb="12" eb="14">
      <t>コウカ</t>
    </rPh>
    <rPh sb="15" eb="16">
      <t>ウ</t>
    </rPh>
    <phoneticPr fontId="1"/>
  </si>
  <si>
    <t>1．【早成】
2．このアニマの攻撃時、「弱菌」1体を召喚する。</t>
    <rPh sb="15" eb="17">
      <t>コウゲキ</t>
    </rPh>
    <rPh sb="17" eb="18">
      <t>ジ</t>
    </rPh>
    <rPh sb="20" eb="22">
      <t>ジャクキン</t>
    </rPh>
    <rPh sb="24" eb="25">
      <t>タイ</t>
    </rPh>
    <rPh sb="26" eb="28">
      <t>ショウカン</t>
    </rPh>
    <phoneticPr fontId="1"/>
  </si>
  <si>
    <t>1．【早成】
2．このアニマの攻撃時、攻撃力分の『感染』を得る。</t>
    <rPh sb="15" eb="17">
      <t>コウゲキ</t>
    </rPh>
    <rPh sb="17" eb="18">
      <t>トキ</t>
    </rPh>
    <rPh sb="19" eb="22">
      <t>コウゲキリョク</t>
    </rPh>
    <rPh sb="22" eb="23">
      <t>ブン</t>
    </rPh>
    <rPh sb="29" eb="30">
      <t>エ</t>
    </rPh>
    <phoneticPr fontId="1"/>
  </si>
  <si>
    <t>1．【早成】
2．このアニマの対峙時、対峙したアニマを毒：2にする。
3．このアニマの捧身時、このアニマを捨て札に送る。</t>
    <rPh sb="15" eb="18">
      <t>タイジジ</t>
    </rPh>
    <rPh sb="19" eb="21">
      <t>タイジ</t>
    </rPh>
    <rPh sb="27" eb="28">
      <t>ドク</t>
    </rPh>
    <phoneticPr fontId="1"/>
  </si>
  <si>
    <t>1．【妨害】
2．自分のアニマの捧身時、そのアニマは捧身によるダメージを受けない。</t>
    <rPh sb="9" eb="11">
      <t>ジブン</t>
    </rPh>
    <rPh sb="16" eb="18">
      <t>ホウシン</t>
    </rPh>
    <rPh sb="18" eb="19">
      <t>ジ</t>
    </rPh>
    <rPh sb="26" eb="28">
      <t>ホウシン</t>
    </rPh>
    <rPh sb="36" eb="37">
      <t>ウ</t>
    </rPh>
    <phoneticPr fontId="1"/>
  </si>
  <si>
    <t>1．【妨害】
2．攻撃・捧身不可。
3．このアニマの対峙時、このアニマの捧身力分の繁栄を得る。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6" eb="38">
      <t>ホウシン</t>
    </rPh>
    <rPh sb="38" eb="39">
      <t>リョク</t>
    </rPh>
    <rPh sb="39" eb="40">
      <t>ブン</t>
    </rPh>
    <rPh sb="41" eb="43">
      <t>ハンエイ</t>
    </rPh>
    <rPh sb="44" eb="45">
      <t>エ</t>
    </rPh>
    <phoneticPr fontId="1"/>
  </si>
  <si>
    <t>1．【妨害】
2．攻撃・捧身不可。</t>
    <rPh sb="9" eb="11">
      <t>コウゲキ</t>
    </rPh>
    <rPh sb="12" eb="13">
      <t>ササ</t>
    </rPh>
    <rPh sb="13" eb="14">
      <t>シン</t>
    </rPh>
    <rPh sb="14" eb="16">
      <t>フカ</t>
    </rPh>
    <phoneticPr fontId="1"/>
  </si>
  <si>
    <t>1．【妨害】
2．攻撃・捧身不可。</t>
    <rPh sb="9" eb="11">
      <t>コウゲキ</t>
    </rPh>
    <rPh sb="12" eb="16">
      <t>ホウシンフカ</t>
    </rPh>
    <phoneticPr fontId="1"/>
  </si>
  <si>
    <t>1．【妨害】
2．攻撃・捧身不可。
3．このアニマは2回まで行動できる。</t>
    <rPh sb="9" eb="11">
      <t>コウゲキ</t>
    </rPh>
    <rPh sb="12" eb="16">
      <t>ホウシンフカ</t>
    </rPh>
    <rPh sb="27" eb="28">
      <t>カイ</t>
    </rPh>
    <rPh sb="30" eb="32">
      <t>コウドウ</t>
    </rPh>
    <phoneticPr fontId="1"/>
  </si>
  <si>
    <t>1．【妨害】
2．攻撃・捧身不可。
3．このアニマが攻撃される時、『祈り』が1以上ならば、『祈り』を－1し、このアニマはダメージを受けない。</t>
    <rPh sb="9" eb="11">
      <t>コウゲキ</t>
    </rPh>
    <rPh sb="12" eb="13">
      <t>ササゲ</t>
    </rPh>
    <rPh sb="13" eb="14">
      <t>ミ</t>
    </rPh>
    <rPh sb="14" eb="16">
      <t>フカ</t>
    </rPh>
    <rPh sb="26" eb="28">
      <t>コウゲキ</t>
    </rPh>
    <rPh sb="31" eb="32">
      <t>トキ</t>
    </rPh>
    <rPh sb="34" eb="35">
      <t>イノ</t>
    </rPh>
    <rPh sb="39" eb="41">
      <t>イジョウ</t>
    </rPh>
    <rPh sb="46" eb="47">
      <t>イノ</t>
    </rPh>
    <rPh sb="65" eb="66">
      <t>ウ</t>
    </rPh>
    <phoneticPr fontId="1"/>
  </si>
  <si>
    <t>1．【妨害】
2．自分のターン終了時、自分の場にオーナメントがなければこのアニマを捨て札に送る。</t>
    <rPh sb="9" eb="11">
      <t>ジブン</t>
    </rPh>
    <rPh sb="15" eb="18">
      <t>シュウリョウジ</t>
    </rPh>
    <rPh sb="19" eb="21">
      <t>ジブン</t>
    </rPh>
    <rPh sb="22" eb="23">
      <t>バ</t>
    </rPh>
    <rPh sb="41" eb="42">
      <t>ス</t>
    </rPh>
    <rPh sb="43" eb="44">
      <t>フダ</t>
    </rPh>
    <rPh sb="45" eb="46">
      <t>オク</t>
    </rPh>
    <phoneticPr fontId="1"/>
  </si>
  <si>
    <t>1．【妨害】
2．攻撃・捧身不可。</t>
    <rPh sb="9" eb="11">
      <t>コウゲキ</t>
    </rPh>
    <rPh sb="12" eb="14">
      <t>ホウシン</t>
    </rPh>
    <rPh sb="14" eb="16">
      <t>フカ</t>
    </rPh>
    <phoneticPr fontId="1"/>
  </si>
  <si>
    <t>1．【妨害】
2．攻撃・捧身不可。
3．このアニマの対峙時、対峙したアニマを毒：2にする。
4．互いのターン終了時、相手のアニマが毒で受けるダメージ分の繁栄を得る。</t>
    <rPh sb="9" eb="11">
      <t>コウゲキ</t>
    </rPh>
    <rPh sb="12" eb="13">
      <t>ササ</t>
    </rPh>
    <rPh sb="13" eb="14">
      <t>シン</t>
    </rPh>
    <rPh sb="14" eb="16">
      <t>フカ</t>
    </rPh>
    <rPh sb="26" eb="28">
      <t>タイジ</t>
    </rPh>
    <rPh sb="28" eb="29">
      <t>トキ</t>
    </rPh>
    <rPh sb="30" eb="32">
      <t>タイジ</t>
    </rPh>
    <rPh sb="38" eb="39">
      <t>ドク</t>
    </rPh>
    <rPh sb="48" eb="49">
      <t>タガ</t>
    </rPh>
    <rPh sb="54" eb="57">
      <t>シュウリョウジ</t>
    </rPh>
    <rPh sb="58" eb="60">
      <t>アイテ</t>
    </rPh>
    <rPh sb="65" eb="66">
      <t>ドク</t>
    </rPh>
    <rPh sb="67" eb="68">
      <t>ウ</t>
    </rPh>
    <rPh sb="74" eb="75">
      <t>ブン</t>
    </rPh>
    <rPh sb="76" eb="78">
      <t>ハンエイ</t>
    </rPh>
    <rPh sb="79" eb="80">
      <t>エ</t>
    </rPh>
    <phoneticPr fontId="1"/>
  </si>
  <si>
    <t>1．【妨害】
2．自分のターン開始時、『感染』＋5。</t>
    <rPh sb="9" eb="11">
      <t>ジブン</t>
    </rPh>
    <rPh sb="15" eb="18">
      <t>カイシジ</t>
    </rPh>
    <phoneticPr fontId="1"/>
  </si>
  <si>
    <t>1．【妨害】</t>
  </si>
  <si>
    <t>【進化】攻撃力14以上のアニマ1体</t>
    <rPh sb="4" eb="7">
      <t>コウゲキリョク</t>
    </rPh>
    <rPh sb="9" eb="11">
      <t>イジョウ</t>
    </rPh>
    <rPh sb="16" eb="17">
      <t>タイ</t>
    </rPh>
    <phoneticPr fontId="1"/>
  </si>
  <si>
    <t>【進化】コスト4以上のオーナメント1体
1．互いのターン終了時、ランダムな相手のアニマ1体に10ダメージ。
2．相手のアニマの攻撃時、自分のオーナメントが受けるダメージを-5する。</t>
    <rPh sb="8" eb="10">
      <t>イジョウ</t>
    </rPh>
    <rPh sb="18" eb="19">
      <t>タイ</t>
    </rPh>
    <rPh sb="22" eb="23">
      <t>タガ</t>
    </rPh>
    <rPh sb="28" eb="31">
      <t>シュウリョウジ</t>
    </rPh>
    <rPh sb="37" eb="39">
      <t>アイテ</t>
    </rPh>
    <rPh sb="44" eb="45">
      <t>タイ</t>
    </rPh>
    <rPh sb="56" eb="58">
      <t>アイテ</t>
    </rPh>
    <rPh sb="63" eb="65">
      <t>コウゲキ</t>
    </rPh>
    <rPh sb="65" eb="66">
      <t>ジ</t>
    </rPh>
    <rPh sb="67" eb="69">
      <t>ジブン</t>
    </rPh>
    <rPh sb="77" eb="78">
      <t>ウ</t>
    </rPh>
    <phoneticPr fontId="1"/>
  </si>
  <si>
    <t>下級悪魔</t>
    <rPh sb="0" eb="4">
      <t>カキュウアクマ</t>
    </rPh>
    <phoneticPr fontId="1"/>
  </si>
  <si>
    <t>１．【殉難】種族：悪魔を持つカードによる発動ならば、2枚ドロー。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27" eb="28">
      <t>マイ</t>
    </rPh>
    <phoneticPr fontId="1"/>
  </si>
  <si>
    <t>熱心な司書</t>
    <rPh sb="0" eb="2">
      <t>ネッシン</t>
    </rPh>
    <rPh sb="3" eb="5">
      <t>シショ</t>
    </rPh>
    <phoneticPr fontId="1"/>
  </si>
  <si>
    <t>１．【妨害】</t>
    <rPh sb="3" eb="5">
      <t>ボウガイ</t>
    </rPh>
    <phoneticPr fontId="1"/>
  </si>
  <si>
    <t>中級悪魔</t>
    <rPh sb="0" eb="2">
      <t>チュウキュウ</t>
    </rPh>
    <rPh sb="2" eb="4">
      <t>アクマ</t>
    </rPh>
    <phoneticPr fontId="1"/>
  </si>
  <si>
    <t>１．アニマが捨て札に送られた時、そのアニマが種族：悪魔を持たないならば、デッキからランダムな種族：悪魔を持つカード1枚を手札に加える。</t>
    <rPh sb="6" eb="7">
      <t>ス</t>
    </rPh>
    <rPh sb="8" eb="9">
      <t>フダ</t>
    </rPh>
    <rPh sb="10" eb="11">
      <t>オク</t>
    </rPh>
    <rPh sb="14" eb="15">
      <t>トキ</t>
    </rPh>
    <rPh sb="22" eb="24">
      <t>シュゾク</t>
    </rPh>
    <rPh sb="25" eb="27">
      <t>アクマ</t>
    </rPh>
    <rPh sb="28" eb="29">
      <t>モ</t>
    </rPh>
    <rPh sb="46" eb="48">
      <t>シュゾク</t>
    </rPh>
    <rPh sb="49" eb="51">
      <t>アクマ</t>
    </rPh>
    <rPh sb="52" eb="53">
      <t>モ</t>
    </rPh>
    <rPh sb="58" eb="59">
      <t>マイ</t>
    </rPh>
    <rPh sb="60" eb="62">
      <t>テフダ</t>
    </rPh>
    <rPh sb="63" eb="64">
      <t>クワ</t>
    </rPh>
    <phoneticPr fontId="1"/>
  </si>
  <si>
    <t>目には目を</t>
    <rPh sb="0" eb="1">
      <t>メ</t>
    </rPh>
    <rPh sb="3" eb="4">
      <t>メ</t>
    </rPh>
    <phoneticPr fontId="1"/>
  </si>
  <si>
    <t>ノーマル</t>
    <phoneticPr fontId="1"/>
  </si>
  <si>
    <t>１．互いのアニマ1体ずつを選択する。それらにXダメージ。Xは選択した自分のアニマの体力の値。</t>
    <rPh sb="2" eb="3">
      <t>タガ</t>
    </rPh>
    <rPh sb="9" eb="10">
      <t>タイ</t>
    </rPh>
    <rPh sb="13" eb="15">
      <t>センタク</t>
    </rPh>
    <rPh sb="30" eb="32">
      <t>センタク</t>
    </rPh>
    <rPh sb="34" eb="36">
      <t>ジブン</t>
    </rPh>
    <rPh sb="41" eb="43">
      <t>タイリョク</t>
    </rPh>
    <rPh sb="44" eb="45">
      <t>アタイ</t>
    </rPh>
    <phoneticPr fontId="1"/>
  </si>
  <si>
    <t>上級悪魔</t>
    <rPh sb="0" eb="4">
      <t>ジョウキュウアクマ</t>
    </rPh>
    <phoneticPr fontId="1"/>
  </si>
  <si>
    <t>アニマやオーナメントが場に出た時に発動する効果。</t>
    <rPh sb="11" eb="12">
      <t>バ</t>
    </rPh>
    <rPh sb="13" eb="14">
      <t>デ</t>
    </rPh>
    <rPh sb="15" eb="16">
      <t>トキ</t>
    </rPh>
    <rPh sb="17" eb="19">
      <t>ハツドウ</t>
    </rPh>
    <rPh sb="21" eb="23">
      <t>コウカ</t>
    </rPh>
    <phoneticPr fontId="1"/>
  </si>
  <si>
    <t>降魔の狂信</t>
    <rPh sb="0" eb="2">
      <t>ゴウマ</t>
    </rPh>
    <rPh sb="3" eb="5">
      <t>キョウシン</t>
    </rPh>
    <phoneticPr fontId="1"/>
  </si>
  <si>
    <t>１．自分のアニマ１体を選択する。「下級悪魔」、「中級悪魔」からランダムに1体を召喚する。選択したアニマに10ダメージ、脆弱にする。</t>
    <rPh sb="2" eb="4">
      <t>ジブン</t>
    </rPh>
    <rPh sb="9" eb="10">
      <t>タイ</t>
    </rPh>
    <rPh sb="11" eb="13">
      <t>センタク</t>
    </rPh>
    <rPh sb="24" eb="28">
      <t>チュウキュウアクマ</t>
    </rPh>
    <rPh sb="44" eb="46">
      <t>センタク</t>
    </rPh>
    <rPh sb="59" eb="61">
      <t>ゼイジャク</t>
    </rPh>
    <phoneticPr fontId="1"/>
  </si>
  <si>
    <t>宣誓</t>
    <rPh sb="0" eb="2">
      <t>センセイ</t>
    </rPh>
    <phoneticPr fontId="1"/>
  </si>
  <si>
    <t>１．【宣誓】自分のアニマ１体を選択する。そのアニマを捨て札に送り、「上級悪魔」１体を召喚する。
２．妨害の効果を受けない。
３．このアニマの捧身時、ランダムな自分の種族：悪魔を持たないアニマ１体を捨て札に送り、「下級悪魔」、「中級悪魔」、「上級悪魔」からランダムに１体を召喚し、【早成】にする。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34" eb="36">
      <t>ジョウキュウ</t>
    </rPh>
    <rPh sb="36" eb="38">
      <t>アクマ</t>
    </rPh>
    <rPh sb="40" eb="41">
      <t>タイ</t>
    </rPh>
    <rPh sb="42" eb="44">
      <t>ショウカン</t>
    </rPh>
    <rPh sb="50" eb="52">
      <t>ボウガイ</t>
    </rPh>
    <rPh sb="53" eb="55">
      <t>コウカ</t>
    </rPh>
    <rPh sb="56" eb="57">
      <t>ウ</t>
    </rPh>
    <rPh sb="70" eb="73">
      <t>ホウシンジ</t>
    </rPh>
    <rPh sb="79" eb="81">
      <t>ジブン</t>
    </rPh>
    <rPh sb="82" eb="84">
      <t>シュゾク</t>
    </rPh>
    <rPh sb="85" eb="87">
      <t>アクマ</t>
    </rPh>
    <rPh sb="88" eb="89">
      <t>モ</t>
    </rPh>
    <rPh sb="96" eb="97">
      <t>タイ</t>
    </rPh>
    <rPh sb="98" eb="99">
      <t>ス</t>
    </rPh>
    <rPh sb="100" eb="101">
      <t>フダ</t>
    </rPh>
    <rPh sb="102" eb="103">
      <t>オク</t>
    </rPh>
    <rPh sb="106" eb="108">
      <t>カキュウ</t>
    </rPh>
    <rPh sb="108" eb="110">
      <t>アクマ</t>
    </rPh>
    <rPh sb="113" eb="115">
      <t>チュウキュウ</t>
    </rPh>
    <rPh sb="115" eb="117">
      <t>アクマ</t>
    </rPh>
    <rPh sb="120" eb="122">
      <t>ジョウキュウ</t>
    </rPh>
    <rPh sb="122" eb="124">
      <t>アクマ</t>
    </rPh>
    <rPh sb="133" eb="134">
      <t>タイ</t>
    </rPh>
    <rPh sb="135" eb="137">
      <t>ショウカン</t>
    </rPh>
    <rPh sb="140" eb="142">
      <t>ソウセイ</t>
    </rPh>
    <phoneticPr fontId="1"/>
  </si>
  <si>
    <t>赤潮</t>
    <rPh sb="0" eb="2">
      <t>アカシオ</t>
    </rPh>
    <phoneticPr fontId="1"/>
  </si>
  <si>
    <t>レア</t>
    <phoneticPr fontId="1"/>
  </si>
  <si>
    <t>グレイス</t>
    <phoneticPr fontId="1"/>
  </si>
  <si>
    <t>１．お互いの場にプランクトンを５体出す。</t>
    <rPh sb="3" eb="4">
      <t>タガ</t>
    </rPh>
    <rPh sb="6" eb="7">
      <t>バ</t>
    </rPh>
    <rPh sb="16" eb="17">
      <t>タイ</t>
    </rPh>
    <rPh sb="17" eb="18">
      <t>ダ</t>
    </rPh>
    <phoneticPr fontId="1"/>
  </si>
  <si>
    <t>処理メモ</t>
    <rPh sb="0" eb="2">
      <t>ショリ</t>
    </rPh>
    <phoneticPr fontId="1"/>
  </si>
  <si>
    <t>１．同時タイミングの効果は、場に出た順に発動する。</t>
    <rPh sb="2" eb="4">
      <t>ドウジ</t>
    </rPh>
    <rPh sb="10" eb="12">
      <t>コウカ</t>
    </rPh>
    <rPh sb="14" eb="15">
      <t>バ</t>
    </rPh>
    <rPh sb="16" eb="17">
      <t>デ</t>
    </rPh>
    <rPh sb="18" eb="19">
      <t>ジュン</t>
    </rPh>
    <rPh sb="20" eb="22">
      <t>ハツドウ</t>
    </rPh>
    <phoneticPr fontId="1"/>
  </si>
  <si>
    <t>蟻の行列</t>
    <rPh sb="0" eb="1">
      <t>アリ</t>
    </rPh>
    <rPh sb="2" eb="4">
      <t>ギョウレツ</t>
    </rPh>
    <phoneticPr fontId="1"/>
  </si>
  <si>
    <t>ノーマル</t>
    <phoneticPr fontId="1"/>
  </si>
  <si>
    <t>１．自分の場に「働き蟻」３体を召喚する。</t>
    <rPh sb="2" eb="4">
      <t>ジブン</t>
    </rPh>
    <rPh sb="5" eb="6">
      <t>バ</t>
    </rPh>
    <rPh sb="8" eb="9">
      <t>ハタラ</t>
    </rPh>
    <rPh sb="10" eb="11">
      <t>アリ</t>
    </rPh>
    <rPh sb="13" eb="14">
      <t>タイ</t>
    </rPh>
    <rPh sb="15" eb="17">
      <t>ショウカン</t>
    </rPh>
    <phoneticPr fontId="1"/>
  </si>
  <si>
    <t>不屈の戦士</t>
    <rPh sb="0" eb="2">
      <t>フクツ</t>
    </rPh>
    <rPh sb="3" eb="5">
      <t>センシ</t>
    </rPh>
    <phoneticPr fontId="1"/>
  </si>
  <si>
    <t>リミテッド</t>
    <phoneticPr fontId="1"/>
  </si>
  <si>
    <t>１．【宣誓】このアニマがコスト10以上の時、このアニマは【早成】になる。
２．このアニマが捨て札に送られる時、コスト＋１、+6/+5/+4し、手札に加える。</t>
    <rPh sb="3" eb="5">
      <t>センセイ</t>
    </rPh>
    <rPh sb="17" eb="19">
      <t>イジョウ</t>
    </rPh>
    <rPh sb="20" eb="21">
      <t>トキ</t>
    </rPh>
    <rPh sb="29" eb="31">
      <t>ソウセイ</t>
    </rPh>
    <rPh sb="45" eb="46">
      <t>ス</t>
    </rPh>
    <rPh sb="47" eb="48">
      <t>フダ</t>
    </rPh>
    <rPh sb="49" eb="50">
      <t>オク</t>
    </rPh>
    <rPh sb="53" eb="54">
      <t>トキ</t>
    </rPh>
    <rPh sb="71" eb="73">
      <t>テフダ</t>
    </rPh>
    <rPh sb="74" eb="75">
      <t>クワ</t>
    </rPh>
    <phoneticPr fontId="1"/>
  </si>
  <si>
    <t>蛍</t>
    <rPh sb="0" eb="1">
      <t>ホタル</t>
    </rPh>
    <phoneticPr fontId="1"/>
  </si>
  <si>
    <t>１．自分のターン開始時、繁栄＋４。</t>
    <rPh sb="2" eb="4">
      <t>ジブン</t>
    </rPh>
    <rPh sb="8" eb="11">
      <t>カイシジ</t>
    </rPh>
    <rPh sb="12" eb="14">
      <t>ハンエイ</t>
    </rPh>
    <phoneticPr fontId="1"/>
  </si>
  <si>
    <t>泥棒猫</t>
    <rPh sb="0" eb="3">
      <t>ドロボウネコ</t>
    </rPh>
    <phoneticPr fontId="1"/>
  </si>
  <si>
    <t>１．【殉難】相手の手札のカード一枚を選択する。そのカードを自分の手札に加える。</t>
    <rPh sb="3" eb="5">
      <t>ジュンナン</t>
    </rPh>
    <rPh sb="6" eb="8">
      <t>アイテ</t>
    </rPh>
    <rPh sb="9" eb="11">
      <t>テフダ</t>
    </rPh>
    <rPh sb="15" eb="17">
      <t>イチマイ</t>
    </rPh>
    <rPh sb="18" eb="20">
      <t>センタク</t>
    </rPh>
    <rPh sb="29" eb="31">
      <t>ジブン</t>
    </rPh>
    <rPh sb="32" eb="34">
      <t>テフダ</t>
    </rPh>
    <rPh sb="35" eb="36">
      <t>クワ</t>
    </rPh>
    <phoneticPr fontId="1"/>
  </si>
  <si>
    <t>古代樹</t>
    <rPh sb="0" eb="2">
      <t>コダイ</t>
    </rPh>
    <rPh sb="2" eb="3">
      <t>ジュ</t>
    </rPh>
    <phoneticPr fontId="1"/>
  </si>
  <si>
    <t>inf</t>
    <phoneticPr fontId="1"/>
  </si>
  <si>
    <t>魔法の伝道師</t>
    <rPh sb="0" eb="2">
      <t>マホウ</t>
    </rPh>
    <rPh sb="3" eb="6">
      <t>デンドウシ</t>
    </rPh>
    <phoneticPr fontId="1"/>
  </si>
  <si>
    <t>アニマ</t>
    <phoneticPr fontId="1"/>
  </si>
  <si>
    <t>１．このアニマが場にいる限り、自身のグレイスのコストをー2。</t>
    <rPh sb="8" eb="9">
      <t>バ</t>
    </rPh>
    <rPh sb="12" eb="13">
      <t>カギ</t>
    </rPh>
    <rPh sb="15" eb="17">
      <t>ジシン</t>
    </rPh>
    <phoneticPr fontId="1"/>
  </si>
  <si>
    <t>ふっかつのじゅもん</t>
    <phoneticPr fontId="1"/>
  </si>
  <si>
    <t>１．自分の捨て札にある６コスト以下のアニマのうち、最大コストのものからランダムに1枚を場に出す。</t>
    <rPh sb="2" eb="4">
      <t>ジブン</t>
    </rPh>
    <rPh sb="5" eb="6">
      <t>ス</t>
    </rPh>
    <rPh sb="7" eb="8">
      <t>フダ</t>
    </rPh>
    <rPh sb="15" eb="17">
      <t>イカ</t>
    </rPh>
    <rPh sb="25" eb="27">
      <t>サイダイ</t>
    </rPh>
    <rPh sb="41" eb="42">
      <t>マイ</t>
    </rPh>
    <rPh sb="43" eb="44">
      <t>バ</t>
    </rPh>
    <rPh sb="45" eb="46">
      <t>ダ</t>
    </rPh>
    <phoneticPr fontId="1"/>
  </si>
  <si>
    <t>構造的欠陥</t>
    <rPh sb="0" eb="5">
      <t>コウゾウテキケッカン</t>
    </rPh>
    <phoneticPr fontId="1"/>
  </si>
  <si>
    <t>１．互いの繁栄をー15。</t>
    <rPh sb="2" eb="3">
      <t>タガ</t>
    </rPh>
    <rPh sb="5" eb="7">
      <t>ハンエイ</t>
    </rPh>
    <phoneticPr fontId="1"/>
  </si>
  <si>
    <t>細菌</t>
    <rPh sb="0" eb="2">
      <t>サイキン</t>
    </rPh>
    <phoneticPr fontId="1"/>
  </si>
  <si>
    <t>育つキノコ</t>
    <rPh sb="0" eb="1">
      <t>ソダ</t>
    </rPh>
    <phoneticPr fontId="1"/>
  </si>
  <si>
    <t>キノコの企み</t>
    <rPh sb="4" eb="5">
      <t>タクラ</t>
    </rPh>
    <phoneticPr fontId="1"/>
  </si>
  <si>
    <t>１．自分の場に、「マタンゴ」2体を召喚する。</t>
    <rPh sb="2" eb="4">
      <t>ジブン</t>
    </rPh>
    <rPh sb="5" eb="6">
      <t>バ</t>
    </rPh>
    <rPh sb="15" eb="16">
      <t>タイ</t>
    </rPh>
    <rPh sb="17" eb="19">
      <t>ショウカン</t>
    </rPh>
    <phoneticPr fontId="1"/>
  </si>
  <si>
    <t>１．相手の場に「マタンゴ」1体を召喚する。それを毒：５にする。</t>
    <rPh sb="2" eb="4">
      <t>アイテ</t>
    </rPh>
    <rPh sb="5" eb="6">
      <t>バ</t>
    </rPh>
    <rPh sb="14" eb="15">
      <t>タイ</t>
    </rPh>
    <rPh sb="16" eb="18">
      <t>ショウカン</t>
    </rPh>
    <rPh sb="24" eb="25">
      <t>ドク</t>
    </rPh>
    <phoneticPr fontId="1"/>
  </si>
  <si>
    <t>汚穢の泉</t>
    <rPh sb="0" eb="1">
      <t>オ</t>
    </rPh>
    <rPh sb="1" eb="2">
      <t>アイ</t>
    </rPh>
    <rPh sb="3" eb="4">
      <t>イズミ</t>
    </rPh>
    <phoneticPr fontId="1"/>
  </si>
  <si>
    <t>１．自分のターン開始時、毒状態ではないランダムなアニマ2体を毒：3にする。</t>
    <rPh sb="2" eb="4">
      <t>ジブン</t>
    </rPh>
    <rPh sb="8" eb="11">
      <t>カイシジ</t>
    </rPh>
    <rPh sb="12" eb="13">
      <t>ドク</t>
    </rPh>
    <rPh sb="13" eb="15">
      <t>ジョウタイ</t>
    </rPh>
    <rPh sb="28" eb="29">
      <t>タイ</t>
    </rPh>
    <rPh sb="30" eb="31">
      <t>ドク</t>
    </rPh>
    <phoneticPr fontId="1"/>
  </si>
  <si>
    <t>毒暴走</t>
    <rPh sb="0" eb="1">
      <t>ドク</t>
    </rPh>
    <rPh sb="1" eb="3">
      <t>ボウソウ</t>
    </rPh>
    <phoneticPr fontId="1"/>
  </si>
  <si>
    <t>１．互いの場のアニマ1体につき、繁栄＋３。</t>
    <rPh sb="2" eb="3">
      <t>タガ</t>
    </rPh>
    <rPh sb="5" eb="6">
      <t>バ</t>
    </rPh>
    <rPh sb="11" eb="12">
      <t>タイ</t>
    </rPh>
    <rPh sb="16" eb="18">
      <t>ハンエイ</t>
    </rPh>
    <phoneticPr fontId="1"/>
  </si>
  <si>
    <t>２．発動タイミングがきたカードが、効果発動前に捨て札に送られれば、効果を発揮しない。</t>
    <rPh sb="2" eb="4">
      <t>ハツドウ</t>
    </rPh>
    <rPh sb="17" eb="19">
      <t>コウカ</t>
    </rPh>
    <rPh sb="19" eb="22">
      <t>ハツドウマエ</t>
    </rPh>
    <rPh sb="23" eb="24">
      <t>ス</t>
    </rPh>
    <rPh sb="25" eb="26">
      <t>フダ</t>
    </rPh>
    <rPh sb="27" eb="28">
      <t>オク</t>
    </rPh>
    <rPh sb="33" eb="35">
      <t>コウカ</t>
    </rPh>
    <rPh sb="36" eb="38">
      <t>ハッキ</t>
    </rPh>
    <phoneticPr fontId="1"/>
  </si>
  <si>
    <t>３．発動タイミングが来たカードが、効果発動前に効果の対象となっているカードが捨て札に送られても、そのカードを参照して効果を発動する。</t>
    <rPh sb="2" eb="4">
      <t>ハツドウ</t>
    </rPh>
    <rPh sb="10" eb="11">
      <t>キ</t>
    </rPh>
    <rPh sb="17" eb="22">
      <t>コウカハツドウマエ</t>
    </rPh>
    <rPh sb="23" eb="25">
      <t>コウカ</t>
    </rPh>
    <rPh sb="26" eb="28">
      <t>タイショウ</t>
    </rPh>
    <rPh sb="38" eb="39">
      <t>ス</t>
    </rPh>
    <rPh sb="40" eb="41">
      <t>フダ</t>
    </rPh>
    <rPh sb="42" eb="43">
      <t>オク</t>
    </rPh>
    <rPh sb="54" eb="56">
      <t>サンショウ</t>
    </rPh>
    <rPh sb="58" eb="60">
      <t>コウカ</t>
    </rPh>
    <rPh sb="61" eb="63">
      <t>ハツドウ</t>
    </rPh>
    <phoneticPr fontId="1"/>
  </si>
  <si>
    <t>アーティファクト</t>
    <phoneticPr fontId="1"/>
  </si>
  <si>
    <t>明日の神話</t>
    <rPh sb="0" eb="2">
      <t>アス</t>
    </rPh>
    <rPh sb="3" eb="5">
      <t>シンワ</t>
    </rPh>
    <phoneticPr fontId="1"/>
  </si>
  <si>
    <t>1．自分のアニマ全てを+0/+3/+3。</t>
    <rPh sb="2" eb="4">
      <t>ジブン</t>
    </rPh>
    <rPh sb="8" eb="9">
      <t>スベ</t>
    </rPh>
    <phoneticPr fontId="1"/>
  </si>
  <si>
    <t>1．自分のアニマ全てを+0/+3/+0。</t>
    <rPh sb="2" eb="4">
      <t>ジブン</t>
    </rPh>
    <rPh sb="8" eb="9">
      <t>スベ</t>
    </rPh>
    <phoneticPr fontId="1"/>
  </si>
  <si>
    <t>【進化】「見上げる塔」1体
1．相手のアニマの攻撃時、そのアニマを-0/-10/-0。
2．自分のターン終了時、繁栄＋10。</t>
    <rPh sb="5" eb="7">
      <t>ミア</t>
    </rPh>
    <rPh sb="9" eb="10">
      <t>トウ</t>
    </rPh>
    <rPh sb="12" eb="13">
      <t>タイ</t>
    </rPh>
    <rPh sb="16" eb="18">
      <t>アイテ</t>
    </rPh>
    <rPh sb="23" eb="25">
      <t>コウゲキ</t>
    </rPh>
    <rPh sb="25" eb="26">
      <t>ジ</t>
    </rPh>
    <rPh sb="46" eb="48">
      <t>ジブン</t>
    </rPh>
    <rPh sb="52" eb="55">
      <t>シュウリョウジ</t>
    </rPh>
    <rPh sb="56" eb="58">
      <t>ハンエイ</t>
    </rPh>
    <phoneticPr fontId="1"/>
  </si>
  <si>
    <t>1．【宣誓】自分の場の名前に「蟻」と付くアニマ全てを+0/+4/+4、妨害を持つ。
2．自分のアニマの登場時、そのアニマに「蟻」と付く場合、+0/+4/+4し、妨害を持つ。
3．【殉難】自分の場の名前に「蟻」と付くアニマ全てを-0/-4/-4、妨害を失う。
4．自分のターン終了時、「働き蟻」1体を召喚する。</t>
    <rPh sb="6" eb="8">
      <t>ジブン</t>
    </rPh>
    <rPh sb="9" eb="10">
      <t>バ</t>
    </rPh>
    <rPh sb="11" eb="13">
      <t>ナマエ</t>
    </rPh>
    <rPh sb="15" eb="16">
      <t>アリ</t>
    </rPh>
    <rPh sb="18" eb="19">
      <t>ツ</t>
    </rPh>
    <rPh sb="23" eb="24">
      <t>スベ</t>
    </rPh>
    <rPh sb="38" eb="39">
      <t>モ</t>
    </rPh>
    <rPh sb="44" eb="46">
      <t>ジブン</t>
    </rPh>
    <rPh sb="51" eb="54">
      <t>トウジョウジ</t>
    </rPh>
    <rPh sb="62" eb="63">
      <t>アリ</t>
    </rPh>
    <rPh sb="65" eb="66">
      <t>ツ</t>
    </rPh>
    <rPh sb="67" eb="69">
      <t>バアイ</t>
    </rPh>
    <rPh sb="83" eb="84">
      <t>モ</t>
    </rPh>
    <rPh sb="93" eb="95">
      <t>ジブン</t>
    </rPh>
    <rPh sb="96" eb="97">
      <t>バ</t>
    </rPh>
    <rPh sb="98" eb="100">
      <t>ナマエ</t>
    </rPh>
    <rPh sb="102" eb="103">
      <t>アリ</t>
    </rPh>
    <rPh sb="105" eb="106">
      <t>ツ</t>
    </rPh>
    <rPh sb="110" eb="111">
      <t>スベ</t>
    </rPh>
    <rPh sb="125" eb="126">
      <t>ウシナ</t>
    </rPh>
    <rPh sb="131" eb="133">
      <t>ジブン</t>
    </rPh>
    <rPh sb="137" eb="140">
      <t>シュウリョウジ</t>
    </rPh>
    <rPh sb="142" eb="143">
      <t>ハタラ</t>
    </rPh>
    <rPh sb="144" eb="145">
      <t>アリ</t>
    </rPh>
    <rPh sb="147" eb="148">
      <t>タイ</t>
    </rPh>
    <rPh sb="149" eb="151">
      <t>ショウカン</t>
    </rPh>
    <phoneticPr fontId="1"/>
  </si>
  <si>
    <t>1．【宣誓】1枚ドロー。
2．このアニマの捧身時、相手の繁栄を－5。</t>
    <rPh sb="7" eb="8">
      <t>マイ</t>
    </rPh>
    <rPh sb="21" eb="23">
      <t>ホウシン</t>
    </rPh>
    <rPh sb="23" eb="24">
      <t>ジ</t>
    </rPh>
    <rPh sb="25" eb="27">
      <t>アイテ</t>
    </rPh>
    <rPh sb="28" eb="30">
      <t>ハンエイ</t>
    </rPh>
    <phoneticPr fontId="1"/>
  </si>
  <si>
    <t>1．【早成】
2．【宣誓】相手の場のカード1枚を選択する。そのカードを手札に戻す。</t>
    <rPh sb="13" eb="15">
      <t>アイテ</t>
    </rPh>
    <rPh sb="16" eb="17">
      <t>バ</t>
    </rPh>
    <rPh sb="22" eb="23">
      <t>マイ</t>
    </rPh>
    <rPh sb="24" eb="26">
      <t>センタク</t>
    </rPh>
    <rPh sb="35" eb="37">
      <t>テフダ</t>
    </rPh>
    <rPh sb="38" eb="39">
      <t>モド</t>
    </rPh>
    <phoneticPr fontId="1"/>
  </si>
  <si>
    <t>1．【宣誓】『祈り』を＋1。</t>
    <rPh sb="7" eb="8">
      <t>イノ</t>
    </rPh>
    <phoneticPr fontId="1"/>
  </si>
  <si>
    <t>1．【宣誓】「ガラスの靴」があれば、このアニマは疾走を持つ。
1．このアニマの攻撃・捧身時、『祈り』が2以上ならば、『祈り』を－2、繁栄を＋28。</t>
    <rPh sb="11" eb="12">
      <t>クツ</t>
    </rPh>
    <rPh sb="24" eb="26">
      <t>シッソウ</t>
    </rPh>
    <rPh sb="27" eb="28">
      <t>モ</t>
    </rPh>
    <rPh sb="39" eb="41">
      <t>コウゲキ</t>
    </rPh>
    <rPh sb="42" eb="44">
      <t>ホウシン</t>
    </rPh>
    <rPh sb="44" eb="45">
      <t>ジ</t>
    </rPh>
    <rPh sb="47" eb="48">
      <t>イノ</t>
    </rPh>
    <rPh sb="52" eb="54">
      <t>イジョウ</t>
    </rPh>
    <rPh sb="59" eb="60">
      <t>イノ</t>
    </rPh>
    <rPh sb="66" eb="68">
      <t>ハンエイ</t>
    </rPh>
    <phoneticPr fontId="1"/>
  </si>
  <si>
    <t>【進化】「大天使像」1体
1．【妨害】
2．状態異常にならない。
3．【宣誓】このアニマを全回復し、相手のアニマ全ての-0/-20/-20。</t>
    <rPh sb="5" eb="8">
      <t>ダイテンシ</t>
    </rPh>
    <rPh sb="8" eb="9">
      <t>ゾウ</t>
    </rPh>
    <rPh sb="11" eb="12">
      <t>タイ</t>
    </rPh>
    <rPh sb="22" eb="24">
      <t>ジョウタイ</t>
    </rPh>
    <rPh sb="24" eb="26">
      <t>イジョウ</t>
    </rPh>
    <rPh sb="45" eb="46">
      <t>ゼン</t>
    </rPh>
    <rPh sb="46" eb="48">
      <t>カイフク</t>
    </rPh>
    <rPh sb="50" eb="52">
      <t>アイテ</t>
    </rPh>
    <rPh sb="56" eb="57">
      <t>スベ</t>
    </rPh>
    <phoneticPr fontId="1"/>
  </si>
  <si>
    <t>1．【宣誓】自分の場のオーナメント全てを捨て札に送る。この効果で捨て札に送ったカード1枚につき、このアニマを+0/+10/+10。</t>
    <rPh sb="6" eb="8">
      <t>ジブン</t>
    </rPh>
    <rPh sb="9" eb="10">
      <t>バ</t>
    </rPh>
    <rPh sb="17" eb="18">
      <t>スベ</t>
    </rPh>
    <rPh sb="20" eb="21">
      <t>ス</t>
    </rPh>
    <rPh sb="22" eb="23">
      <t>フダ</t>
    </rPh>
    <rPh sb="24" eb="25">
      <t>オク</t>
    </rPh>
    <rPh sb="29" eb="31">
      <t>コウカ</t>
    </rPh>
    <rPh sb="32" eb="33">
      <t>ス</t>
    </rPh>
    <rPh sb="34" eb="35">
      <t>フダ</t>
    </rPh>
    <rPh sb="36" eb="37">
      <t>オク</t>
    </rPh>
    <rPh sb="43" eb="44">
      <t>マイ</t>
    </rPh>
    <phoneticPr fontId="1"/>
  </si>
  <si>
    <t>1．【宣誓】自分の場のオーナメント1枚につき、このアニマを+0/+3/+3。</t>
    <rPh sb="6" eb="8">
      <t>ジブン</t>
    </rPh>
    <rPh sb="9" eb="10">
      <t>バ</t>
    </rPh>
    <rPh sb="18" eb="19">
      <t>マイ</t>
    </rPh>
    <phoneticPr fontId="1"/>
  </si>
  <si>
    <t>１．【宣誓】『感染』が12以上ならば、『感染』を-12し、このアニマを+8/+8/+8し、「感染遺物」1枚を手札に加える。</t>
    <rPh sb="7" eb="9">
      <t>カンセン</t>
    </rPh>
    <rPh sb="13" eb="15">
      <t>イジョウ</t>
    </rPh>
    <rPh sb="20" eb="22">
      <t>カンセン</t>
    </rPh>
    <rPh sb="46" eb="50">
      <t>カンセンイブツ</t>
    </rPh>
    <rPh sb="52" eb="53">
      <t>マイ</t>
    </rPh>
    <rPh sb="54" eb="56">
      <t>テフダ</t>
    </rPh>
    <rPh sb="57" eb="58">
      <t>クワ</t>
    </rPh>
    <phoneticPr fontId="1"/>
  </si>
  <si>
    <t>1．【宣誓】『感染』が15以上なら、このアニマを攻撃力＋5、捧身力＋10。</t>
    <rPh sb="13" eb="15">
      <t>イジョウ</t>
    </rPh>
    <rPh sb="24" eb="27">
      <t>コウゲキリョク</t>
    </rPh>
    <rPh sb="30" eb="32">
      <t>ホウシン</t>
    </rPh>
    <rPh sb="32" eb="33">
      <t>リョク</t>
    </rPh>
    <phoneticPr fontId="1"/>
  </si>
  <si>
    <t>1．【宣誓】『感染』が12以上なら、相手のアニマ1体を選択する。そのアニマに7ダメージ。</t>
    <rPh sb="13" eb="15">
      <t>イジョウ</t>
    </rPh>
    <rPh sb="18" eb="20">
      <t>アイテ</t>
    </rPh>
    <rPh sb="25" eb="26">
      <t>タイ</t>
    </rPh>
    <rPh sb="27" eb="29">
      <t>センタク</t>
    </rPh>
    <phoneticPr fontId="1"/>
  </si>
  <si>
    <t>1．【宣誓】自分のアニマ1体を選択する。そのアニマを捨て札に送り、『感染』＋12、繁栄＋5。</t>
    <rPh sb="6" eb="8">
      <t>ジブン</t>
    </rPh>
    <rPh sb="13" eb="14">
      <t>タイ</t>
    </rPh>
    <rPh sb="15" eb="17">
      <t>センタク</t>
    </rPh>
    <rPh sb="26" eb="27">
      <t>ス</t>
    </rPh>
    <rPh sb="28" eb="29">
      <t>フダ</t>
    </rPh>
    <rPh sb="30" eb="31">
      <t>オク</t>
    </rPh>
    <rPh sb="41" eb="43">
      <t>ハンエイ</t>
    </rPh>
    <phoneticPr fontId="1"/>
  </si>
  <si>
    <t>1．【宣誓】『感染』＋4。</t>
    <phoneticPr fontId="1"/>
  </si>
  <si>
    <t>1．「防衛ロボット」2体を召喚する。</t>
    <rPh sb="3" eb="5">
      <t>ボウエイ</t>
    </rPh>
    <rPh sb="11" eb="12">
      <t>タイ</t>
    </rPh>
    <rPh sb="13" eb="15">
      <t>ショウカン</t>
    </rPh>
    <phoneticPr fontId="1"/>
  </si>
  <si>
    <t>防御システム・微</t>
    <rPh sb="0" eb="2">
      <t>ボウギョ</t>
    </rPh>
    <rPh sb="7" eb="8">
      <t>ビ</t>
    </rPh>
    <phoneticPr fontId="1"/>
  </si>
  <si>
    <t>やめられない男</t>
    <rPh sb="6" eb="7">
      <t>オトコ</t>
    </rPh>
    <phoneticPr fontId="1"/>
  </si>
  <si>
    <t>１．【殉難】種族：悪魔を持つカードによる発動ならば、このカードのコストを２にし、手札に戻す。</t>
    <rPh sb="3" eb="5">
      <t>ジュンナン</t>
    </rPh>
    <rPh sb="6" eb="8">
      <t>シュゾク</t>
    </rPh>
    <rPh sb="9" eb="11">
      <t>アクマ</t>
    </rPh>
    <rPh sb="12" eb="13">
      <t>モ</t>
    </rPh>
    <rPh sb="20" eb="22">
      <t>ハツドウ</t>
    </rPh>
    <rPh sb="40" eb="42">
      <t>テフダ</t>
    </rPh>
    <rPh sb="43" eb="44">
      <t>モド</t>
    </rPh>
    <phoneticPr fontId="1"/>
  </si>
  <si>
    <t>魔術は囁く</t>
    <rPh sb="0" eb="2">
      <t>マジュツ</t>
    </rPh>
    <rPh sb="3" eb="4">
      <t>ササヤ</t>
    </rPh>
    <phoneticPr fontId="1"/>
  </si>
  <si>
    <t>1．自分の場が古代カード1枚なら使える。自分のアニマの+11/+11/+11し、そのアニマを強靱・孤立にする。</t>
    <rPh sb="2" eb="4">
      <t>ジブン</t>
    </rPh>
    <rPh sb="5" eb="6">
      <t>バ</t>
    </rPh>
    <rPh sb="7" eb="9">
      <t>コダイ</t>
    </rPh>
    <rPh sb="13" eb="14">
      <t>マイ</t>
    </rPh>
    <rPh sb="16" eb="17">
      <t>ツカ</t>
    </rPh>
    <rPh sb="20" eb="22">
      <t>ジブン</t>
    </rPh>
    <rPh sb="46" eb="48">
      <t>キョウジン</t>
    </rPh>
    <rPh sb="49" eb="51">
      <t>コリツ</t>
    </rPh>
    <phoneticPr fontId="1"/>
  </si>
  <si>
    <t>【進化】種族：恐竜のアニマ1体
1．【宣誓】このアニマの攻撃力・捧身力を進化前のアニマのものの2倍にする。</t>
    <rPh sb="4" eb="6">
      <t>シュゾク</t>
    </rPh>
    <rPh sb="7" eb="9">
      <t>キョウリュウ</t>
    </rPh>
    <rPh sb="14" eb="15">
      <t>タイ</t>
    </rPh>
    <rPh sb="19" eb="21">
      <t>センセイ</t>
    </rPh>
    <rPh sb="28" eb="31">
      <t>コウゲキリョク</t>
    </rPh>
    <rPh sb="32" eb="35">
      <t>ホウシンリョク</t>
    </rPh>
    <rPh sb="36" eb="39">
      <t>シンカマエ</t>
    </rPh>
    <rPh sb="48" eb="49">
      <t>バイ</t>
    </rPh>
    <phoneticPr fontId="1"/>
  </si>
  <si>
    <t>１．【宣誓】ランダムな自分の種族：悪魔ではないアニマ１体を捨て札に送る。Xはそのアニマの体力の値である。</t>
    <rPh sb="3" eb="5">
      <t>センセイ</t>
    </rPh>
    <rPh sb="11" eb="13">
      <t>ジブン</t>
    </rPh>
    <rPh sb="14" eb="16">
      <t>シュゾク</t>
    </rPh>
    <rPh sb="17" eb="19">
      <t>アクマ</t>
    </rPh>
    <rPh sb="27" eb="28">
      <t>タイ</t>
    </rPh>
    <rPh sb="29" eb="30">
      <t>ス</t>
    </rPh>
    <rPh sb="31" eb="32">
      <t>フダ</t>
    </rPh>
    <rPh sb="33" eb="34">
      <t>オク</t>
    </rPh>
    <rPh sb="44" eb="46">
      <t>タイリョク</t>
    </rPh>
    <rPh sb="47" eb="48">
      <t>アタイ</t>
    </rPh>
    <phoneticPr fontId="1"/>
  </si>
  <si>
    <t>無我の境地</t>
    <rPh sb="0" eb="2">
      <t>ムガ</t>
    </rPh>
    <rPh sb="3" eb="5">
      <t>キョウチ</t>
    </rPh>
    <phoneticPr fontId="1"/>
  </si>
  <si>
    <t>１．自分の人智アニマ１体を選択する。そのアニマを10回復し、「グレイスの効果を受けない」を与える。</t>
    <rPh sb="2" eb="4">
      <t>ジブン</t>
    </rPh>
    <rPh sb="5" eb="7">
      <t>ジンチ</t>
    </rPh>
    <rPh sb="11" eb="12">
      <t>タイ</t>
    </rPh>
    <rPh sb="13" eb="15">
      <t>センタク</t>
    </rPh>
    <rPh sb="26" eb="28">
      <t>カイフク</t>
    </rPh>
    <rPh sb="36" eb="38">
      <t>コウカ</t>
    </rPh>
    <rPh sb="39" eb="40">
      <t>ウ</t>
    </rPh>
    <rPh sb="45" eb="46">
      <t>アタ</t>
    </rPh>
    <phoneticPr fontId="1"/>
  </si>
  <si>
    <t>ジプシー</t>
    <phoneticPr fontId="1"/>
  </si>
  <si>
    <t>レア</t>
    <phoneticPr fontId="1"/>
  </si>
  <si>
    <t>アニマ</t>
    <phoneticPr fontId="1"/>
  </si>
  <si>
    <t>１．【宣誓】場のアニマ１体を選択する。そのアニマを-10/+10/+10する。</t>
    <rPh sb="3" eb="5">
      <t>センセイ</t>
    </rPh>
    <rPh sb="6" eb="7">
      <t>バ</t>
    </rPh>
    <rPh sb="12" eb="13">
      <t>タイ</t>
    </rPh>
    <rPh sb="14" eb="16">
      <t>センタク</t>
    </rPh>
    <phoneticPr fontId="1"/>
  </si>
  <si>
    <t>家鼠</t>
    <rPh sb="0" eb="2">
      <t>イエネズミ</t>
    </rPh>
    <phoneticPr fontId="1"/>
  </si>
  <si>
    <t>ノーマル</t>
    <phoneticPr fontId="1"/>
  </si>
  <si>
    <t>１．【早成】
２．攻撃時、オーナメントへ与えるダメージが2倍になる。</t>
    <rPh sb="2" eb="6">
      <t>ソウセイ</t>
    </rPh>
    <rPh sb="9" eb="12">
      <t>コウゲキジ</t>
    </rPh>
    <rPh sb="20" eb="21">
      <t>アタ</t>
    </rPh>
    <rPh sb="29" eb="30">
      <t>バイ</t>
    </rPh>
    <phoneticPr fontId="1"/>
  </si>
  <si>
    <t>シロアリ</t>
    <phoneticPr fontId="1"/>
  </si>
  <si>
    <t>１．【殉難】「シロアリ」1枚を手札に加え、それをコストを-1、-6/-3/-3する。それがコスト０ならば消滅する。</t>
    <rPh sb="2" eb="6">
      <t>ジュンナン</t>
    </rPh>
    <rPh sb="13" eb="14">
      <t>マイ</t>
    </rPh>
    <rPh sb="15" eb="17">
      <t>テフダ</t>
    </rPh>
    <rPh sb="18" eb="19">
      <t>クワ</t>
    </rPh>
    <rPh sb="52" eb="54">
      <t>ショウメツ</t>
    </rPh>
    <phoneticPr fontId="1"/>
  </si>
  <si>
    <t>虫</t>
    <rPh sb="0" eb="1">
      <t>ムシ</t>
    </rPh>
    <phoneticPr fontId="1"/>
  </si>
  <si>
    <t>蠱毒</t>
    <rPh sb="0" eb="2">
      <t>コドク</t>
    </rPh>
    <phoneticPr fontId="1"/>
  </si>
  <si>
    <t>１．相手のアニマ1体を選択する。それを毒：Ｘにする。Xは自分の捨て札にある種族：虫を持つカード数である。</t>
    <rPh sb="2" eb="4">
      <t>アイテ</t>
    </rPh>
    <rPh sb="9" eb="10">
      <t>タイ</t>
    </rPh>
    <rPh sb="11" eb="13">
      <t>センタク</t>
    </rPh>
    <rPh sb="19" eb="20">
      <t>ドク</t>
    </rPh>
    <rPh sb="28" eb="30">
      <t>ジブン</t>
    </rPh>
    <rPh sb="31" eb="32">
      <t>ス</t>
    </rPh>
    <rPh sb="33" eb="34">
      <t>フダ</t>
    </rPh>
    <rPh sb="37" eb="39">
      <t>シュゾク</t>
    </rPh>
    <rPh sb="40" eb="41">
      <t>ムシ</t>
    </rPh>
    <rPh sb="42" eb="43">
      <t>モ</t>
    </rPh>
    <rPh sb="47" eb="48">
      <t>スウ</t>
    </rPh>
    <phoneticPr fontId="1"/>
  </si>
  <si>
    <t>虫の息</t>
    <rPh sb="0" eb="1">
      <t>ムシ</t>
    </rPh>
    <rPh sb="2" eb="3">
      <t>イキ</t>
    </rPh>
    <phoneticPr fontId="1"/>
  </si>
  <si>
    <t>１．自分の種族：虫を持つアニマ1体を選択する。それの体力を1にし、+0/+15/+10。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26" eb="28">
      <t>タイリョク</t>
    </rPh>
    <phoneticPr fontId="1"/>
  </si>
  <si>
    <t>蟲の哀悼</t>
    <rPh sb="0" eb="1">
      <t>ムシ</t>
    </rPh>
    <rPh sb="2" eb="4">
      <t>アイトウ</t>
    </rPh>
    <phoneticPr fontId="1"/>
  </si>
  <si>
    <t>１．自分の種族：虫を持つアニマ1体を選択する。それを+0/+0/+X。Xは自分の捨て札にある種族：虫を持つカードの数である。</t>
    <rPh sb="2" eb="4">
      <t>ジブン</t>
    </rPh>
    <rPh sb="5" eb="7">
      <t>シュゾク</t>
    </rPh>
    <rPh sb="8" eb="9">
      <t>ムシ</t>
    </rPh>
    <rPh sb="10" eb="11">
      <t>モ</t>
    </rPh>
    <rPh sb="16" eb="17">
      <t>タイ</t>
    </rPh>
    <rPh sb="18" eb="20">
      <t>センタク</t>
    </rPh>
    <rPh sb="37" eb="39">
      <t>ジブン</t>
    </rPh>
    <rPh sb="40" eb="41">
      <t>ス</t>
    </rPh>
    <rPh sb="42" eb="43">
      <t>フダ</t>
    </rPh>
    <rPh sb="46" eb="48">
      <t>シュゾク</t>
    </rPh>
    <rPh sb="49" eb="50">
      <t>ムシ</t>
    </rPh>
    <rPh sb="51" eb="52">
      <t>モ</t>
    </rPh>
    <rPh sb="57" eb="58">
      <t>カズ</t>
    </rPh>
    <phoneticPr fontId="1"/>
  </si>
  <si>
    <t>エレファント・イン・ザ・ルーム</t>
    <phoneticPr fontId="1"/>
  </si>
  <si>
    <t>１．「概念の象」2体を召喚する。</t>
    <rPh sb="3" eb="5">
      <t>ガイネン</t>
    </rPh>
    <rPh sb="6" eb="7">
      <t>ゾウ</t>
    </rPh>
    <rPh sb="9" eb="10">
      <t>タイ</t>
    </rPh>
    <rPh sb="11" eb="13">
      <t>ショウカン</t>
    </rPh>
    <phoneticPr fontId="1"/>
  </si>
  <si>
    <t>概念の象</t>
    <rPh sb="0" eb="2">
      <t>ガイネン</t>
    </rPh>
    <rPh sb="3" eb="4">
      <t>ゾウ</t>
    </rPh>
    <phoneticPr fontId="1"/>
  </si>
  <si>
    <t>トークン</t>
    <phoneticPr fontId="1"/>
  </si>
  <si>
    <t>１．攻撃・捧身不可。
２．このアニマがいる限り、お互いにコスト２以下のカードを使用できない。</t>
    <rPh sb="2" eb="4">
      <t>コウゲキ</t>
    </rPh>
    <rPh sb="5" eb="7">
      <t>ホウシン</t>
    </rPh>
    <rPh sb="7" eb="9">
      <t>フカ</t>
    </rPh>
    <rPh sb="21" eb="22">
      <t>カギ</t>
    </rPh>
    <rPh sb="25" eb="26">
      <t>タガ</t>
    </rPh>
    <rPh sb="32" eb="34">
      <t>イカ</t>
    </rPh>
    <rPh sb="39" eb="41">
      <t>シヨウ</t>
    </rPh>
    <phoneticPr fontId="1"/>
  </si>
  <si>
    <t>枯朽した墓碑</t>
    <rPh sb="0" eb="1">
      <t>カ</t>
    </rPh>
    <rPh sb="1" eb="2">
      <t>ク</t>
    </rPh>
    <rPh sb="4" eb="6">
      <t>ボヒ</t>
    </rPh>
    <phoneticPr fontId="1"/>
  </si>
  <si>
    <t>リミテッド</t>
    <phoneticPr fontId="1"/>
  </si>
  <si>
    <t>１．自分のターン終了時、自分の場に「ナハツェーラー」がいなければ、「ナハツェーラー」1体を召喚する。</t>
    <rPh sb="2" eb="4">
      <t>ジブン</t>
    </rPh>
    <rPh sb="8" eb="11">
      <t>シュウリョウジ</t>
    </rPh>
    <rPh sb="12" eb="14">
      <t>ジブン</t>
    </rPh>
    <rPh sb="15" eb="16">
      <t>バ</t>
    </rPh>
    <rPh sb="43" eb="44">
      <t>タイ</t>
    </rPh>
    <rPh sb="45" eb="47">
      <t>ショウカン</t>
    </rPh>
    <phoneticPr fontId="1"/>
  </si>
  <si>
    <t>ナハツェーラー</t>
    <phoneticPr fontId="1"/>
  </si>
  <si>
    <t>１．妨害されない。
２．自分のターン開始時、このアニマを+6/+6/+6。</t>
    <rPh sb="2" eb="4">
      <t>ボウガイ</t>
    </rPh>
    <rPh sb="12" eb="14">
      <t>ジブン</t>
    </rPh>
    <rPh sb="18" eb="21">
      <t>カイシジ</t>
    </rPh>
    <phoneticPr fontId="1"/>
  </si>
  <si>
    <t>破壊と再生</t>
    <rPh sb="0" eb="2">
      <t>ハカイ</t>
    </rPh>
    <rPh sb="3" eb="5">
      <t>サイセイ</t>
    </rPh>
    <phoneticPr fontId="1"/>
  </si>
  <si>
    <t>グレイス</t>
    <phoneticPr fontId="1"/>
  </si>
  <si>
    <t>１．場のオーナメント1枚を選択する。それを捨て札に送り、同名のカード1枚を手札に加える。</t>
    <rPh sb="2" eb="3">
      <t>バ</t>
    </rPh>
    <rPh sb="11" eb="12">
      <t>マイ</t>
    </rPh>
    <rPh sb="13" eb="15">
      <t>センタク</t>
    </rPh>
    <rPh sb="21" eb="22">
      <t>ス</t>
    </rPh>
    <rPh sb="23" eb="24">
      <t>フダ</t>
    </rPh>
    <rPh sb="25" eb="26">
      <t>オク</t>
    </rPh>
    <rPh sb="28" eb="30">
      <t>ドウメイ</t>
    </rPh>
    <rPh sb="35" eb="36">
      <t>マイ</t>
    </rPh>
    <rPh sb="37" eb="39">
      <t>テフダ</t>
    </rPh>
    <rPh sb="40" eb="41">
      <t>クワ</t>
    </rPh>
    <phoneticPr fontId="1"/>
  </si>
  <si>
    <t>1．【宣誓】「弱菌」1枚を手札に加える。</t>
    <rPh sb="2" eb="6">
      <t>センセイ</t>
    </rPh>
    <rPh sb="7" eb="9">
      <t>ジャクキン</t>
    </rPh>
    <rPh sb="11" eb="12">
      <t>マイ</t>
    </rPh>
    <rPh sb="13" eb="15">
      <t>テフダ</t>
    </rPh>
    <rPh sb="16" eb="17">
      <t>クワ</t>
    </rPh>
    <phoneticPr fontId="1"/>
  </si>
  <si>
    <t>腐敗の信仰</t>
    <rPh sb="0" eb="2">
      <t>フハイ</t>
    </rPh>
    <rPh sb="3" eb="5">
      <t>シンコウ</t>
    </rPh>
    <phoneticPr fontId="1"/>
  </si>
  <si>
    <t>1．相手のアニマ全ては「【殉難】繁栄－5。」を得る。</t>
    <rPh sb="2" eb="4">
      <t>アイテ</t>
    </rPh>
    <rPh sb="8" eb="9">
      <t>スベ</t>
    </rPh>
    <rPh sb="12" eb="16">
      <t>ジュンナン</t>
    </rPh>
    <rPh sb="16" eb="18">
      <t>ハンエイ</t>
    </rPh>
    <rPh sb="23" eb="24">
      <t>エ</t>
    </rPh>
    <phoneticPr fontId="1"/>
  </si>
  <si>
    <t>三人寄れば文殊の知恵</t>
    <rPh sb="0" eb="2">
      <t>サンニン</t>
    </rPh>
    <rPh sb="2" eb="3">
      <t>ヨ</t>
    </rPh>
    <rPh sb="5" eb="7">
      <t>モンジュ</t>
    </rPh>
    <rPh sb="8" eb="10">
      <t>チエ</t>
    </rPh>
    <phoneticPr fontId="1"/>
  </si>
  <si>
    <t>1．自分の人智アニマ3体を選択する。それらを捨て札に送り、「文殊菩薩」1体を召喚する。それのX、Y、Zはそれぞれこのカードの効果で捨て札に送ったアニマの体力、攻撃力、捧身力の合計である。</t>
    <rPh sb="2" eb="4">
      <t>ジブン</t>
    </rPh>
    <rPh sb="5" eb="7">
      <t>ジンチ</t>
    </rPh>
    <rPh sb="11" eb="12">
      <t>タイ</t>
    </rPh>
    <rPh sb="13" eb="15">
      <t>センタク</t>
    </rPh>
    <rPh sb="22" eb="23">
      <t>ス</t>
    </rPh>
    <rPh sb="24" eb="25">
      <t>フダ</t>
    </rPh>
    <rPh sb="26" eb="27">
      <t>オク</t>
    </rPh>
    <rPh sb="30" eb="34">
      <t>モンジュボサツ</t>
    </rPh>
    <rPh sb="36" eb="37">
      <t>タイ</t>
    </rPh>
    <rPh sb="38" eb="40">
      <t>ショウカン</t>
    </rPh>
    <rPh sb="62" eb="64">
      <t>コウカ</t>
    </rPh>
    <rPh sb="65" eb="66">
      <t>ス</t>
    </rPh>
    <rPh sb="67" eb="68">
      <t>フダ</t>
    </rPh>
    <rPh sb="69" eb="70">
      <t>オク</t>
    </rPh>
    <rPh sb="76" eb="78">
      <t>タイリョク</t>
    </rPh>
    <rPh sb="79" eb="82">
      <t>コウゲキリョク</t>
    </rPh>
    <rPh sb="83" eb="85">
      <t>ホウシン</t>
    </rPh>
    <rPh sb="85" eb="86">
      <t>リョク</t>
    </rPh>
    <rPh sb="87" eb="89">
      <t>ゴウケイ</t>
    </rPh>
    <phoneticPr fontId="1"/>
  </si>
  <si>
    <t>文殊菩薩</t>
    <rPh sb="0" eb="4">
      <t>モンジュボサツ</t>
    </rPh>
    <phoneticPr fontId="1"/>
  </si>
  <si>
    <t>X</t>
    <phoneticPr fontId="1"/>
  </si>
  <si>
    <t>Y</t>
    <phoneticPr fontId="1"/>
  </si>
  <si>
    <t>Z</t>
    <phoneticPr fontId="1"/>
  </si>
  <si>
    <t>1．状態異常にならない。
2．【殉難】このアニマを召喚した「三人寄れば文殊の知恵」で捨て札に送ったアニマを場に出す。</t>
    <rPh sb="2" eb="6">
      <t>ジョウタイイジョウ</t>
    </rPh>
    <rPh sb="15" eb="19">
      <t>ジュンナン</t>
    </rPh>
    <rPh sb="25" eb="27">
      <t>ショウカン</t>
    </rPh>
    <rPh sb="30" eb="32">
      <t>サンニン</t>
    </rPh>
    <rPh sb="32" eb="33">
      <t>ヨ</t>
    </rPh>
    <rPh sb="35" eb="37">
      <t>モンジュ</t>
    </rPh>
    <rPh sb="38" eb="40">
      <t>チエ</t>
    </rPh>
    <rPh sb="42" eb="43">
      <t>ス</t>
    </rPh>
    <rPh sb="44" eb="45">
      <t>フダ</t>
    </rPh>
    <rPh sb="46" eb="47">
      <t>オク</t>
    </rPh>
    <rPh sb="53" eb="54">
      <t>バ</t>
    </rPh>
    <rPh sb="55" eb="56">
      <t>ダ</t>
    </rPh>
    <phoneticPr fontId="1"/>
  </si>
  <si>
    <t>鎌鼬</t>
    <rPh sb="0" eb="2">
      <t>カマイタチ</t>
    </rPh>
    <phoneticPr fontId="1"/>
  </si>
  <si>
    <t>雨乞</t>
    <rPh sb="0" eb="2">
      <t>アマゴ</t>
    </rPh>
    <phoneticPr fontId="1"/>
  </si>
  <si>
    <t>1．相手のアニマ1体を選択する。そのアニマを0/-10/-10。</t>
    <rPh sb="2" eb="4">
      <t>アイテ</t>
    </rPh>
    <rPh sb="9" eb="10">
      <t>タイ</t>
    </rPh>
    <rPh sb="11" eb="13">
      <t>センタク</t>
    </rPh>
    <phoneticPr fontId="1"/>
  </si>
  <si>
    <t>1．自分のコスト3以下の細菌アニマ1体を選択する。そのアニマと同じアニマ1体を場に出す。</t>
    <rPh sb="2" eb="4">
      <t>ジブン</t>
    </rPh>
    <rPh sb="9" eb="11">
      <t>イカ</t>
    </rPh>
    <rPh sb="12" eb="14">
      <t>サイキン</t>
    </rPh>
    <rPh sb="18" eb="19">
      <t>タイ</t>
    </rPh>
    <rPh sb="20" eb="22">
      <t>センタク</t>
    </rPh>
    <rPh sb="31" eb="32">
      <t>オナ</t>
    </rPh>
    <rPh sb="37" eb="38">
      <t>タイ</t>
    </rPh>
    <rPh sb="39" eb="40">
      <t>バ</t>
    </rPh>
    <rPh sb="41" eb="42">
      <t>ダ</t>
    </rPh>
    <phoneticPr fontId="1"/>
  </si>
  <si>
    <t>1．自分のターン終了時、『感染』が20以上ならば、自分の捨て札からランダムな種族：「感染体」かつコスト3以下のカード1枚を手札に加える。</t>
    <rPh sb="2" eb="4">
      <t>ジブン</t>
    </rPh>
    <rPh sb="8" eb="11">
      <t>シュウリョウジ</t>
    </rPh>
    <rPh sb="19" eb="21">
      <t>イジョウ</t>
    </rPh>
    <rPh sb="25" eb="27">
      <t>ジブン</t>
    </rPh>
    <rPh sb="28" eb="29">
      <t>ス</t>
    </rPh>
    <rPh sb="30" eb="31">
      <t>フダ</t>
    </rPh>
    <rPh sb="38" eb="40">
      <t>シュゾク</t>
    </rPh>
    <rPh sb="42" eb="45">
      <t>カンセンタイ</t>
    </rPh>
    <rPh sb="52" eb="54">
      <t>イカ</t>
    </rPh>
    <rPh sb="59" eb="60">
      <t>マイ</t>
    </rPh>
    <rPh sb="61" eb="63">
      <t>テフダ</t>
    </rPh>
    <rPh sb="64" eb="65">
      <t>クワ</t>
    </rPh>
    <phoneticPr fontId="1"/>
  </si>
  <si>
    <t>1．互いのグレイスの使用時、このアニマの0/+2/+2。</t>
    <rPh sb="2" eb="3">
      <t>タガ</t>
    </rPh>
    <rPh sb="10" eb="13">
      <t>シヨウジ</t>
    </rPh>
    <phoneticPr fontId="1"/>
  </si>
  <si>
    <t>1．【カウントダウン：２】シードを＋6し、このオーナメントを捨て札に送る。</t>
    <rPh sb="30" eb="31">
      <t>ス</t>
    </rPh>
    <rPh sb="32" eb="33">
      <t>フダ</t>
    </rPh>
    <rPh sb="34" eb="35">
      <t>オク</t>
    </rPh>
    <phoneticPr fontId="1"/>
  </si>
  <si>
    <t>1．【カウントダウン：2】「シンデレラ」1体を召喚し、このオーナメントを捨て札に送る。</t>
    <rPh sb="21" eb="22">
      <t>タイ</t>
    </rPh>
    <rPh sb="23" eb="25">
      <t>ショウカン</t>
    </rPh>
    <rPh sb="36" eb="37">
      <t>ス</t>
    </rPh>
    <rPh sb="38" eb="39">
      <t>フダ</t>
    </rPh>
    <rPh sb="40" eb="41">
      <t>オク</t>
    </rPh>
    <phoneticPr fontId="1"/>
  </si>
  <si>
    <t>1．【早成】
2．自分のターン終了時、このアニマを-0/-4/-4。</t>
    <rPh sb="9" eb="11">
      <t>ジブン</t>
    </rPh>
    <rPh sb="15" eb="18">
      <t>シュウリョウジ</t>
    </rPh>
    <phoneticPr fontId="1"/>
  </si>
  <si>
    <t>1．自分のアニマ1体を選択する。そのアニマを捨て札に送り、2枚ドロー、このターンの『感染』の減少率を1/3にする（このターン終了時に『感染』を1.33倍にする）。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0" eb="31">
      <t>マイ</t>
    </rPh>
    <rPh sb="42" eb="44">
      <t>カンセン</t>
    </rPh>
    <rPh sb="46" eb="48">
      <t>ゲンショウ</t>
    </rPh>
    <rPh sb="48" eb="49">
      <t>リツ</t>
    </rPh>
    <rPh sb="62" eb="64">
      <t>シュウリョウ</t>
    </rPh>
    <rPh sb="64" eb="65">
      <t>ジ</t>
    </rPh>
    <rPh sb="75" eb="76">
      <t>バイ</t>
    </rPh>
    <phoneticPr fontId="1"/>
  </si>
  <si>
    <t>マタンゴ</t>
    <phoneticPr fontId="1"/>
  </si>
  <si>
    <t>トークン</t>
    <phoneticPr fontId="1"/>
  </si>
  <si>
    <t>アニマ</t>
    <phoneticPr fontId="1"/>
  </si>
  <si>
    <t>１．自分のアニマ１体を選択する。そのアニマを捨て札に送る。「ランダムな相手のカード１枚に6ダメージ」を3回行う。</t>
    <rPh sb="2" eb="4">
      <t>ジブン</t>
    </rPh>
    <rPh sb="9" eb="10">
      <t>タイ</t>
    </rPh>
    <rPh sb="11" eb="13">
      <t>センタク</t>
    </rPh>
    <rPh sb="22" eb="23">
      <t>ス</t>
    </rPh>
    <rPh sb="24" eb="25">
      <t>フダ</t>
    </rPh>
    <rPh sb="26" eb="27">
      <t>オク</t>
    </rPh>
    <rPh sb="35" eb="37">
      <t>アイテ</t>
    </rPh>
    <rPh sb="42" eb="43">
      <t>マイ</t>
    </rPh>
    <rPh sb="52" eb="53">
      <t>カイ</t>
    </rPh>
    <rPh sb="53" eb="54">
      <t>オコナ</t>
    </rPh>
    <phoneticPr fontId="1"/>
  </si>
  <si>
    <t>悪魔</t>
    <rPh sb="0" eb="2">
      <t>アクマ</t>
    </rPh>
    <phoneticPr fontId="1"/>
  </si>
  <si>
    <t>貪食の悪魔</t>
    <rPh sb="0" eb="2">
      <t>ドンショク</t>
    </rPh>
    <rPh sb="3" eb="5">
      <t>アクマ</t>
    </rPh>
    <phoneticPr fontId="1"/>
  </si>
  <si>
    <t>空想</t>
    <phoneticPr fontId="1"/>
  </si>
  <si>
    <t>レア</t>
    <phoneticPr fontId="1"/>
  </si>
  <si>
    <t>グレイス</t>
    <phoneticPr fontId="1"/>
  </si>
  <si>
    <t>伏魔殿</t>
    <rPh sb="0" eb="3">
      <t>フクマデン</t>
    </rPh>
    <phoneticPr fontId="1"/>
  </si>
  <si>
    <t>１．自分の種族：悪魔を持たないアニマが捨て札に送られた時、このオーナメントを捨て札に送り、「中級悪魔」1体を召喚する。</t>
    <rPh sb="2" eb="4">
      <t>ジブン</t>
    </rPh>
    <rPh sb="5" eb="7">
      <t>シュゾク</t>
    </rPh>
    <rPh sb="8" eb="10">
      <t>アクマ</t>
    </rPh>
    <rPh sb="11" eb="12">
      <t>モ</t>
    </rPh>
    <rPh sb="19" eb="20">
      <t>ス</t>
    </rPh>
    <rPh sb="21" eb="22">
      <t>フダ</t>
    </rPh>
    <rPh sb="23" eb="24">
      <t>オク</t>
    </rPh>
    <rPh sb="27" eb="28">
      <t>トキ</t>
    </rPh>
    <rPh sb="38" eb="39">
      <t>ス</t>
    </rPh>
    <rPh sb="40" eb="41">
      <t>フダ</t>
    </rPh>
    <rPh sb="42" eb="43">
      <t>オク</t>
    </rPh>
    <rPh sb="46" eb="48">
      <t>チュウキュウ</t>
    </rPh>
    <rPh sb="48" eb="50">
      <t>アクマ</t>
    </rPh>
    <rPh sb="52" eb="53">
      <t>タイ</t>
    </rPh>
    <rPh sb="54" eb="56">
      <t>ショウカン</t>
    </rPh>
    <phoneticPr fontId="1"/>
  </si>
  <si>
    <t>１．自分のターン終了時、ランダムな種族：悪魔を持たないアニマ3体を【脆弱】にし、５ダメージ。
２．アニマが捨て札に送られた時、そのアニマが種族：悪魔を持たなければ、繁栄＋３。</t>
    <rPh sb="2" eb="4">
      <t>ジブン</t>
    </rPh>
    <rPh sb="8" eb="11">
      <t>シュウリョウジ</t>
    </rPh>
    <rPh sb="17" eb="19">
      <t>シュゾク</t>
    </rPh>
    <rPh sb="20" eb="22">
      <t>アクマ</t>
    </rPh>
    <rPh sb="23" eb="24">
      <t>モ</t>
    </rPh>
    <rPh sb="31" eb="32">
      <t>タイ</t>
    </rPh>
    <rPh sb="34" eb="36">
      <t>ゼイジャク</t>
    </rPh>
    <rPh sb="53" eb="54">
      <t>ス</t>
    </rPh>
    <rPh sb="55" eb="56">
      <t>フダ</t>
    </rPh>
    <rPh sb="57" eb="58">
      <t>オク</t>
    </rPh>
    <rPh sb="61" eb="62">
      <t>トキ</t>
    </rPh>
    <rPh sb="69" eb="71">
      <t>シュゾク</t>
    </rPh>
    <rPh sb="72" eb="74">
      <t>アクマ</t>
    </rPh>
    <rPh sb="75" eb="76">
      <t>モ</t>
    </rPh>
    <rPh sb="82" eb="84">
      <t>ハンエイ</t>
    </rPh>
    <phoneticPr fontId="1"/>
  </si>
  <si>
    <t>１．アニマが捨て札に送られた時、そのアニマが種族：悪魔を持たなければ、繁栄＋５。</t>
    <rPh sb="6" eb="7">
      <t>ス</t>
    </rPh>
    <rPh sb="8" eb="9">
      <t>フダ</t>
    </rPh>
    <rPh sb="10" eb="11">
      <t>オク</t>
    </rPh>
    <rPh sb="14" eb="15">
      <t>トキ</t>
    </rPh>
    <rPh sb="22" eb="24">
      <t>シュゾク</t>
    </rPh>
    <rPh sb="25" eb="27">
      <t>アクマ</t>
    </rPh>
    <rPh sb="28" eb="29">
      <t>モ</t>
    </rPh>
    <rPh sb="35" eb="37">
      <t>ハンエイ</t>
    </rPh>
    <phoneticPr fontId="1"/>
  </si>
  <si>
    <t>自分のツリーが8以上の時、使用可能。
１．自分のターン終了時、ランダムな自分のアニマ1体を+7/+5/+5、自分のシード＋1~3。</t>
    <rPh sb="0" eb="2">
      <t>ジブン</t>
    </rPh>
    <rPh sb="8" eb="10">
      <t>イジョウ</t>
    </rPh>
    <rPh sb="11" eb="12">
      <t>トキ</t>
    </rPh>
    <rPh sb="13" eb="17">
      <t>シヨウカノウ</t>
    </rPh>
    <rPh sb="21" eb="23">
      <t>ジブン</t>
    </rPh>
    <rPh sb="27" eb="30">
      <t>シュウリョウジ</t>
    </rPh>
    <rPh sb="36" eb="38">
      <t>ジブン</t>
    </rPh>
    <rPh sb="43" eb="44">
      <t>タイ</t>
    </rPh>
    <rPh sb="54" eb="56">
      <t>ジブン</t>
    </rPh>
    <phoneticPr fontId="1"/>
  </si>
  <si>
    <t>自分のツリーが8以上の時、使用可能。
１．「上級悪魔」1体を召喚する。</t>
    <rPh sb="0" eb="2">
      <t>ジブン</t>
    </rPh>
    <rPh sb="8" eb="10">
      <t>イジョウ</t>
    </rPh>
    <rPh sb="11" eb="12">
      <t>トキ</t>
    </rPh>
    <rPh sb="13" eb="17">
      <t>シヨウカノウ</t>
    </rPh>
    <rPh sb="22" eb="24">
      <t>ジョウキュウ</t>
    </rPh>
    <rPh sb="24" eb="26">
      <t>アクマ</t>
    </rPh>
    <rPh sb="28" eb="29">
      <t>タイ</t>
    </rPh>
    <rPh sb="30" eb="32">
      <t>ショウカン</t>
    </rPh>
    <phoneticPr fontId="1"/>
  </si>
  <si>
    <t>自分の場に種族：感染体のアニマが2体以上ある時、使用可能。
１．自分の場にあるランダムなアニマ1体を+0/+3/+3し、「感染遺物」1枚を手札に加える。</t>
    <rPh sb="0" eb="2">
      <t>ジブン</t>
    </rPh>
    <rPh sb="3" eb="4">
      <t>バ</t>
    </rPh>
    <rPh sb="5" eb="7">
      <t>シュゾク</t>
    </rPh>
    <rPh sb="8" eb="11">
      <t>カンセンタイ</t>
    </rPh>
    <rPh sb="17" eb="18">
      <t>タイ</t>
    </rPh>
    <rPh sb="18" eb="20">
      <t>イジョウ</t>
    </rPh>
    <rPh sb="22" eb="23">
      <t>トキ</t>
    </rPh>
    <rPh sb="24" eb="28">
      <t>シヨウカノウ</t>
    </rPh>
    <rPh sb="32" eb="34">
      <t>ジブン</t>
    </rPh>
    <rPh sb="35" eb="36">
      <t>バ</t>
    </rPh>
    <rPh sb="48" eb="49">
      <t>タイ</t>
    </rPh>
    <rPh sb="61" eb="63">
      <t>カンセン</t>
    </rPh>
    <rPh sb="63" eb="65">
      <t>イブツ</t>
    </rPh>
    <rPh sb="67" eb="68">
      <t>マイ</t>
    </rPh>
    <rPh sb="69" eb="71">
      <t>テフダ</t>
    </rPh>
    <rPh sb="72" eb="73">
      <t>クワ</t>
    </rPh>
    <phoneticPr fontId="1"/>
  </si>
  <si>
    <t>ノーマル</t>
    <phoneticPr fontId="1"/>
  </si>
  <si>
    <t>１．【妨害】
２．攻撃・捧身不可。
３．【宣誓】相手のアニマ全てに15ダメージ。</t>
    <rPh sb="2" eb="6">
      <t>ボウガイ</t>
    </rPh>
    <rPh sb="9" eb="11">
      <t>コウゲキ</t>
    </rPh>
    <rPh sb="12" eb="14">
      <t>ホウシン</t>
    </rPh>
    <rPh sb="14" eb="16">
      <t>フカ</t>
    </rPh>
    <rPh sb="20" eb="24">
      <t>センセイ</t>
    </rPh>
    <rPh sb="24" eb="26">
      <t>アイテ</t>
    </rPh>
    <rPh sb="30" eb="31">
      <t>スベ</t>
    </rPh>
    <phoneticPr fontId="1"/>
  </si>
  <si>
    <t>絡繰り技巧</t>
    <rPh sb="0" eb="2">
      <t>カラク</t>
    </rPh>
    <rPh sb="3" eb="5">
      <t>ギコウ</t>
    </rPh>
    <phoneticPr fontId="1"/>
  </si>
  <si>
    <t>アリクイ</t>
    <phoneticPr fontId="1"/>
  </si>
  <si>
    <t>1．このアニマの攻撃時、自分の場の名前に「蟻」と付くアニマ1体を選択する。そのアニマを捨て札に送り、このアニマを12回復、繁栄を＋12。</t>
    <rPh sb="8" eb="11">
      <t>コウゲキジ</t>
    </rPh>
    <rPh sb="12" eb="14">
      <t>ジブン</t>
    </rPh>
    <rPh sb="15" eb="16">
      <t>バ</t>
    </rPh>
    <rPh sb="17" eb="19">
      <t>ナマエ</t>
    </rPh>
    <rPh sb="21" eb="22">
      <t>アリ</t>
    </rPh>
    <rPh sb="24" eb="25">
      <t>ツ</t>
    </rPh>
    <rPh sb="30" eb="31">
      <t>タイ</t>
    </rPh>
    <rPh sb="32" eb="34">
      <t>センタク</t>
    </rPh>
    <rPh sb="43" eb="44">
      <t>ス</t>
    </rPh>
    <rPh sb="45" eb="46">
      <t>フダ</t>
    </rPh>
    <rPh sb="47" eb="48">
      <t>オク</t>
    </rPh>
    <rPh sb="58" eb="60">
      <t>カイフク</t>
    </rPh>
    <rPh sb="61" eb="63">
      <t>ハンエイ</t>
    </rPh>
    <phoneticPr fontId="1"/>
  </si>
  <si>
    <t>シマウマ</t>
    <phoneticPr fontId="1"/>
  </si>
  <si>
    <t>1．「シマウマ」1体を場に出す。</t>
    <rPh sb="9" eb="10">
      <t>タイ</t>
    </rPh>
    <rPh sb="11" eb="12">
      <t>バ</t>
    </rPh>
    <rPh sb="13" eb="14">
      <t>ダ</t>
    </rPh>
    <phoneticPr fontId="1"/>
  </si>
  <si>
    <t>召喚・上級悪魔</t>
    <rPh sb="0" eb="2">
      <t>ショウカン</t>
    </rPh>
    <rPh sb="3" eb="7">
      <t>ジョウキュウアクマ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</si>
</sst>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0" xfId="0" quotePrefix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0" xfId="0" applyAlignment="1">
      <alignment vertical="center" wrapText="1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5"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5BA5D0-F6DA-4031-BD45-031A06931453}" name="cardlist" displayName="cardlist" ref="A1:K171" totalsRowShown="0">
  <autoFilter ref="A1:K171" xr:uid="{3B3C71FD-01DF-45A0-A761-5798A3C66BDB}"/>
  <sortState xmlns:xlrd2="http://schemas.microsoft.com/office/spreadsheetml/2017/richdata2" ref="A2:K171">
    <sortCondition ref="A1:A171"/>
  </sortState>
  <tableColumns count="11">
    <tableColumn id="1" xr3:uid="{73093B26-A544-4914-98AC-9B58DBD83D19}" name="カードID"/>
    <tableColumn id="2" xr3:uid="{3ACD0D03-1693-48AA-A306-913DF333A549}" name="属性"/>
    <tableColumn id="18" xr3:uid="{7D08B4CC-5C1C-49D3-96CE-1B3EDF76452D}" name="種族"/>
    <tableColumn id="3" xr3:uid="{566910B9-DF50-4287-B2A7-408ABAC33B01}" name="カード名"/>
    <tableColumn id="4" xr3:uid="{9277589E-6852-493D-91C3-8C4963A73AEC}" name="レアリティ"/>
    <tableColumn id="5" xr3:uid="{B9273254-27DB-4F31-A99D-690BD545F780}" name="カードタイプ"/>
    <tableColumn id="6" xr3:uid="{8BC80AFB-9A73-4244-A5C1-5B281027451B}" name="Seed"/>
    <tableColumn id="7" xr3:uid="{4BF5ED99-F6DF-4D72-A300-5DC692F0E5BF}" name="体力"/>
    <tableColumn id="8" xr3:uid="{04C45FB1-8F93-47EE-AAC0-4ED4379C7706}" name="攻撃力"/>
    <tableColumn id="9" xr3:uid="{D6D79D96-D47B-42C3-A145-CD3F215F20AC}" name="捧身力"/>
    <tableColumn id="10" xr3:uid="{127D95E3-4B46-4EF2-82FC-477F80C21736}" name="効果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8EF7F4-9E0E-4588-812A-4C6AF8C609C2}" name="テーブル2" displayName="テーブル2" ref="B3:D13" totalsRowShown="0">
  <autoFilter ref="B3:D13" xr:uid="{DDA1A6B9-5D9A-4BA2-ADAC-9ABB00E5BB33}"/>
  <tableColumns count="3">
    <tableColumn id="1" xr3:uid="{5618C0ED-A062-486D-9D29-5B4B85771D24}" name="状態"/>
    <tableColumn id="2" xr3:uid="{2FD4CFC4-A3AD-48BE-A84C-712731CFD171}" name="バフ/デバフ"/>
    <tableColumn id="3" xr3:uid="{1EDE0240-AB59-4CE9-80E6-F964C6287AA8}" name="効果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15B4D-4824-478B-A52D-06A6D62943EE}" name="テーブル1" displayName="テーブル1" ref="A3:J9" totalsRowShown="0">
  <autoFilter ref="A3:J9" xr:uid="{DD415B4D-4824-478B-A52D-06A6D62943EE}"/>
  <tableColumns count="10">
    <tableColumn id="1" xr3:uid="{18C54FAD-CAC2-4726-9C01-E2E4AAE321B9}" name="属性" dataDxfId="3"/>
    <tableColumn id="2" xr3:uid="{A9A3F8E3-0CEA-487F-B18B-4BF26B2F6C7C}" name="人知"/>
    <tableColumn id="3" xr3:uid="{445A290E-BA85-4FD7-AEA7-8BA51C9AAADE}" name="野生"/>
    <tableColumn id="4" xr3:uid="{C7E8DCC2-7B3B-4D5F-BBB9-0934C5503818}" name="古代"/>
    <tableColumn id="5" xr3:uid="{CCA24C57-AFFE-42DE-B1DB-8A0BBC3AB08A}" name="空想"/>
    <tableColumn id="6" xr3:uid="{AE2AD164-DA24-4042-A2FD-9EF445C5E72C}" name="構造"/>
    <tableColumn id="7" xr3:uid="{B2A091EF-6987-4596-A611-AD41C61277C3}" name="細菌"/>
    <tableColumn id="8" xr3:uid="{61ED9919-D8DF-482B-A34D-B6C0C6031F7F}" name="総合" dataDxfId="2">
      <calculatedColumnFormula>SUM(B4:G4)</calculatedColumnFormula>
    </tableColumn>
    <tableColumn id="9" xr3:uid="{4A4993B3-7BE4-41A2-A8F5-ACE4EEAC6990}" name="加護" dataDxfId="1"/>
    <tableColumn id="10" xr3:uid="{0D85F5F0-E65A-49EE-8708-AD42C93442DF}" name="決着ターン（8平均）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ED7AF-3BC8-4ED1-841D-B3AED23C9FA0}">
  <sheetPr codeName="Sheet1"/>
  <dimension ref="A1:K171"/>
  <sheetViews>
    <sheetView tabSelected="1" zoomScaleNormal="100" workbookViewId="0">
      <pane ySplit="1" topLeftCell="A162" activePane="bottomLeft" state="frozen"/>
      <selection pane="bottomLeft" activeCell="D169" sqref="D169"/>
    </sheetView>
  </sheetViews>
  <sheetFormatPr defaultRowHeight="18" x14ac:dyDescent="0.55000000000000004"/>
  <cols>
    <col min="1" max="1" width="5.75" customWidth="1"/>
    <col min="2" max="3" width="12.6640625" customWidth="1"/>
    <col min="4" max="4" width="16" customWidth="1"/>
    <col min="5" max="5" width="10.75" customWidth="1"/>
    <col min="6" max="6" width="12.5" customWidth="1"/>
    <col min="7" max="7" width="4.4140625" customWidth="1"/>
    <col min="8" max="8" width="5.83203125" customWidth="1"/>
    <col min="11" max="11" width="49.4140625" style="9" customWidth="1"/>
  </cols>
  <sheetData>
    <row r="1" spans="1:11" x14ac:dyDescent="0.55000000000000004">
      <c r="A1" t="s">
        <v>164</v>
      </c>
      <c r="B1" t="s">
        <v>7</v>
      </c>
      <c r="C1" t="s">
        <v>178</v>
      </c>
      <c r="D1" t="s">
        <v>163</v>
      </c>
      <c r="E1" t="s">
        <v>162</v>
      </c>
      <c r="F1" t="s">
        <v>161</v>
      </c>
      <c r="G1" t="s">
        <v>160</v>
      </c>
      <c r="H1" t="s">
        <v>159</v>
      </c>
      <c r="I1" t="s">
        <v>158</v>
      </c>
      <c r="J1" t="s">
        <v>157</v>
      </c>
      <c r="K1" s="9" t="s">
        <v>64</v>
      </c>
    </row>
    <row r="2" spans="1:11" ht="54" x14ac:dyDescent="0.55000000000000004">
      <c r="A2">
        <v>1</v>
      </c>
      <c r="B2" t="s">
        <v>146</v>
      </c>
      <c r="D2" t="s">
        <v>362</v>
      </c>
      <c r="E2" t="s">
        <v>108</v>
      </c>
      <c r="F2" t="s">
        <v>118</v>
      </c>
      <c r="G2">
        <v>10</v>
      </c>
      <c r="H2">
        <v>65</v>
      </c>
      <c r="I2">
        <v>10</v>
      </c>
      <c r="J2">
        <v>10</v>
      </c>
      <c r="K2" s="9" t="s">
        <v>297</v>
      </c>
    </row>
    <row r="3" spans="1:11" ht="72" x14ac:dyDescent="0.55000000000000004">
      <c r="A3">
        <v>2</v>
      </c>
      <c r="B3" t="s">
        <v>146</v>
      </c>
      <c r="D3" t="s">
        <v>156</v>
      </c>
      <c r="E3" t="s">
        <v>113</v>
      </c>
      <c r="F3" t="s">
        <v>104</v>
      </c>
      <c r="G3">
        <v>6</v>
      </c>
      <c r="H3">
        <v>48</v>
      </c>
      <c r="I3">
        <v>7</v>
      </c>
      <c r="J3">
        <v>6</v>
      </c>
      <c r="K3" s="9" t="s">
        <v>298</v>
      </c>
    </row>
    <row r="4" spans="1:11" x14ac:dyDescent="0.55000000000000004">
      <c r="A4">
        <v>3</v>
      </c>
      <c r="B4" t="s">
        <v>143</v>
      </c>
      <c r="D4" t="s">
        <v>151</v>
      </c>
      <c r="E4" t="s">
        <v>94</v>
      </c>
      <c r="F4" t="s">
        <v>104</v>
      </c>
      <c r="G4">
        <v>6</v>
      </c>
      <c r="H4">
        <v>60</v>
      </c>
      <c r="I4">
        <v>24</v>
      </c>
      <c r="J4">
        <v>27</v>
      </c>
      <c r="K4" s="9" t="s">
        <v>308</v>
      </c>
    </row>
    <row r="5" spans="1:11" ht="36" x14ac:dyDescent="0.55000000000000004">
      <c r="A5">
        <v>4</v>
      </c>
      <c r="B5" t="s">
        <v>143</v>
      </c>
      <c r="D5" t="s">
        <v>155</v>
      </c>
      <c r="E5" t="s">
        <v>94</v>
      </c>
      <c r="F5" t="s">
        <v>104</v>
      </c>
      <c r="G5">
        <v>5</v>
      </c>
      <c r="H5">
        <v>42</v>
      </c>
      <c r="I5">
        <v>10</v>
      </c>
      <c r="J5">
        <v>4</v>
      </c>
      <c r="K5" s="9" t="s">
        <v>299</v>
      </c>
    </row>
    <row r="6" spans="1:11" x14ac:dyDescent="0.55000000000000004">
      <c r="A6">
        <v>5</v>
      </c>
      <c r="B6" t="s">
        <v>143</v>
      </c>
      <c r="D6" t="s">
        <v>154</v>
      </c>
      <c r="E6" t="s">
        <v>94</v>
      </c>
      <c r="F6" t="s">
        <v>104</v>
      </c>
      <c r="G6">
        <v>3</v>
      </c>
      <c r="H6">
        <v>25</v>
      </c>
      <c r="I6">
        <v>6</v>
      </c>
      <c r="J6">
        <v>3</v>
      </c>
      <c r="K6" s="9" t="s">
        <v>153</v>
      </c>
    </row>
    <row r="7" spans="1:11" x14ac:dyDescent="0.55000000000000004">
      <c r="A7">
        <v>6</v>
      </c>
      <c r="B7" t="s">
        <v>143</v>
      </c>
      <c r="D7" t="s">
        <v>152</v>
      </c>
      <c r="E7" t="s">
        <v>94</v>
      </c>
      <c r="F7" t="s">
        <v>104</v>
      </c>
      <c r="G7">
        <v>3</v>
      </c>
      <c r="H7">
        <v>11</v>
      </c>
      <c r="I7">
        <v>22</v>
      </c>
      <c r="J7">
        <v>8</v>
      </c>
    </row>
    <row r="8" spans="1:11" ht="36" x14ac:dyDescent="0.55000000000000004">
      <c r="A8">
        <v>7</v>
      </c>
      <c r="B8" t="s">
        <v>146</v>
      </c>
      <c r="D8" t="s">
        <v>147</v>
      </c>
      <c r="E8" t="s">
        <v>108</v>
      </c>
      <c r="F8" t="s">
        <v>96</v>
      </c>
      <c r="G8">
        <v>6</v>
      </c>
      <c r="H8" t="s">
        <v>85</v>
      </c>
      <c r="I8" t="s">
        <v>85</v>
      </c>
      <c r="J8" t="s">
        <v>85</v>
      </c>
      <c r="K8" s="9" t="s">
        <v>165</v>
      </c>
    </row>
    <row r="9" spans="1:11" ht="36" x14ac:dyDescent="0.55000000000000004">
      <c r="A9">
        <v>8</v>
      </c>
      <c r="B9" t="s">
        <v>146</v>
      </c>
      <c r="D9" t="s">
        <v>196</v>
      </c>
      <c r="E9" t="s">
        <v>113</v>
      </c>
      <c r="F9" t="s">
        <v>91</v>
      </c>
      <c r="G9">
        <v>4</v>
      </c>
      <c r="K9" s="9" t="s">
        <v>197</v>
      </c>
    </row>
    <row r="10" spans="1:11" ht="36" x14ac:dyDescent="0.55000000000000004">
      <c r="A10">
        <v>9</v>
      </c>
      <c r="B10" t="s">
        <v>146</v>
      </c>
      <c r="E10" t="s">
        <v>94</v>
      </c>
      <c r="F10" t="s">
        <v>96</v>
      </c>
      <c r="G10">
        <v>4</v>
      </c>
      <c r="K10" s="9" t="s">
        <v>219</v>
      </c>
    </row>
    <row r="11" spans="1:11" ht="54" x14ac:dyDescent="0.55000000000000004">
      <c r="A11">
        <v>10</v>
      </c>
      <c r="B11" t="s">
        <v>146</v>
      </c>
      <c r="E11" t="s">
        <v>94</v>
      </c>
      <c r="F11" t="s">
        <v>91</v>
      </c>
      <c r="G11">
        <v>1</v>
      </c>
      <c r="K11" s="9" t="s">
        <v>217</v>
      </c>
    </row>
    <row r="12" spans="1:11" ht="54" x14ac:dyDescent="0.55000000000000004">
      <c r="A12">
        <v>11</v>
      </c>
      <c r="B12" t="s">
        <v>146</v>
      </c>
      <c r="D12" t="s">
        <v>145</v>
      </c>
      <c r="E12" t="s">
        <v>94</v>
      </c>
      <c r="F12" t="s">
        <v>96</v>
      </c>
      <c r="G12">
        <v>3</v>
      </c>
      <c r="H12" t="s">
        <v>85</v>
      </c>
      <c r="I12" t="s">
        <v>85</v>
      </c>
      <c r="J12" t="s">
        <v>85</v>
      </c>
      <c r="K12" s="9" t="s">
        <v>166</v>
      </c>
    </row>
    <row r="13" spans="1:11" x14ac:dyDescent="0.55000000000000004">
      <c r="A13">
        <v>12</v>
      </c>
      <c r="B13" t="s">
        <v>143</v>
      </c>
      <c r="D13" t="s">
        <v>144</v>
      </c>
      <c r="E13" t="s">
        <v>87</v>
      </c>
      <c r="F13" t="s">
        <v>96</v>
      </c>
      <c r="G13">
        <v>2</v>
      </c>
      <c r="H13" t="s">
        <v>85</v>
      </c>
      <c r="I13" t="s">
        <v>85</v>
      </c>
      <c r="J13" t="s">
        <v>85</v>
      </c>
      <c r="K13" s="9" t="s">
        <v>364</v>
      </c>
    </row>
    <row r="14" spans="1:11" ht="36" x14ac:dyDescent="0.55000000000000004">
      <c r="A14">
        <v>13</v>
      </c>
      <c r="B14" t="s">
        <v>143</v>
      </c>
      <c r="D14" t="s">
        <v>142</v>
      </c>
      <c r="E14" t="s">
        <v>94</v>
      </c>
      <c r="F14" t="s">
        <v>100</v>
      </c>
      <c r="G14">
        <v>8</v>
      </c>
      <c r="H14">
        <v>56</v>
      </c>
      <c r="I14" t="s">
        <v>85</v>
      </c>
      <c r="J14" t="s">
        <v>85</v>
      </c>
      <c r="K14" s="9" t="s">
        <v>167</v>
      </c>
    </row>
    <row r="15" spans="1:11" ht="72" x14ac:dyDescent="0.55000000000000004">
      <c r="A15">
        <v>14</v>
      </c>
      <c r="B15" t="s">
        <v>36</v>
      </c>
      <c r="D15" t="s">
        <v>141</v>
      </c>
      <c r="E15" t="s">
        <v>108</v>
      </c>
      <c r="F15" t="s">
        <v>118</v>
      </c>
      <c r="G15">
        <v>4</v>
      </c>
      <c r="H15">
        <v>56</v>
      </c>
      <c r="I15">
        <v>7</v>
      </c>
      <c r="J15">
        <v>3</v>
      </c>
      <c r="K15" s="9" t="s">
        <v>140</v>
      </c>
    </row>
    <row r="16" spans="1:11" ht="36" x14ac:dyDescent="0.55000000000000004">
      <c r="A16">
        <v>15</v>
      </c>
      <c r="B16" t="s">
        <v>135</v>
      </c>
      <c r="C16" t="s">
        <v>398</v>
      </c>
      <c r="D16" t="s">
        <v>257</v>
      </c>
      <c r="E16" t="s">
        <v>108</v>
      </c>
      <c r="F16" t="s">
        <v>118</v>
      </c>
      <c r="G16">
        <v>4</v>
      </c>
      <c r="H16">
        <v>4</v>
      </c>
      <c r="I16">
        <v>34</v>
      </c>
      <c r="J16">
        <v>4</v>
      </c>
      <c r="K16" s="9" t="s">
        <v>288</v>
      </c>
    </row>
    <row r="17" spans="1:11" ht="126" x14ac:dyDescent="0.55000000000000004">
      <c r="A17">
        <v>16</v>
      </c>
      <c r="B17" t="s">
        <v>135</v>
      </c>
      <c r="C17" t="s">
        <v>398</v>
      </c>
      <c r="D17" t="s">
        <v>255</v>
      </c>
      <c r="E17" t="s">
        <v>113</v>
      </c>
      <c r="F17" t="s">
        <v>118</v>
      </c>
      <c r="G17">
        <v>6</v>
      </c>
      <c r="H17">
        <v>18</v>
      </c>
      <c r="I17">
        <v>4</v>
      </c>
      <c r="J17">
        <v>4</v>
      </c>
      <c r="K17" s="9" t="s">
        <v>366</v>
      </c>
    </row>
    <row r="18" spans="1:11" ht="54" x14ac:dyDescent="0.55000000000000004">
      <c r="A18">
        <v>17</v>
      </c>
      <c r="B18" t="s">
        <v>135</v>
      </c>
      <c r="D18" t="s">
        <v>246</v>
      </c>
      <c r="E18" t="s">
        <v>207</v>
      </c>
      <c r="F18" t="s">
        <v>104</v>
      </c>
      <c r="G18">
        <v>9</v>
      </c>
      <c r="H18">
        <v>66</v>
      </c>
      <c r="I18" t="s">
        <v>225</v>
      </c>
      <c r="J18">
        <v>0</v>
      </c>
      <c r="K18" s="9" t="s">
        <v>289</v>
      </c>
    </row>
    <row r="19" spans="1:11" ht="36" x14ac:dyDescent="0.55000000000000004">
      <c r="A19">
        <v>18</v>
      </c>
      <c r="B19" t="s">
        <v>135</v>
      </c>
      <c r="D19" t="s">
        <v>139</v>
      </c>
      <c r="E19" t="s">
        <v>113</v>
      </c>
      <c r="F19" t="s">
        <v>104</v>
      </c>
      <c r="G19">
        <v>5</v>
      </c>
      <c r="H19">
        <v>38</v>
      </c>
      <c r="I19">
        <v>20</v>
      </c>
      <c r="J19">
        <v>20</v>
      </c>
      <c r="K19" s="9" t="s">
        <v>436</v>
      </c>
    </row>
    <row r="20" spans="1:11" ht="36" x14ac:dyDescent="0.55000000000000004">
      <c r="A20">
        <v>19</v>
      </c>
      <c r="B20" t="s">
        <v>135</v>
      </c>
      <c r="D20" t="s">
        <v>253</v>
      </c>
      <c r="E20" t="s">
        <v>113</v>
      </c>
      <c r="F20" t="s">
        <v>118</v>
      </c>
      <c r="G20">
        <v>4</v>
      </c>
      <c r="H20">
        <v>30</v>
      </c>
      <c r="I20">
        <v>15</v>
      </c>
      <c r="J20">
        <v>18</v>
      </c>
      <c r="K20" s="9" t="s">
        <v>367</v>
      </c>
    </row>
    <row r="21" spans="1:11" x14ac:dyDescent="0.55000000000000004">
      <c r="A21">
        <v>20</v>
      </c>
      <c r="B21" t="s">
        <v>135</v>
      </c>
      <c r="C21" t="s">
        <v>398</v>
      </c>
      <c r="D21" t="s">
        <v>254</v>
      </c>
      <c r="E21" t="s">
        <v>94</v>
      </c>
      <c r="F21" t="s">
        <v>118</v>
      </c>
      <c r="G21">
        <v>2</v>
      </c>
      <c r="H21">
        <v>5</v>
      </c>
      <c r="I21">
        <v>16</v>
      </c>
      <c r="J21">
        <v>5</v>
      </c>
      <c r="K21" s="9" t="s">
        <v>290</v>
      </c>
    </row>
    <row r="22" spans="1:11" ht="54" x14ac:dyDescent="0.55000000000000004">
      <c r="A22">
        <v>21</v>
      </c>
      <c r="B22" t="s">
        <v>36</v>
      </c>
      <c r="D22" t="s">
        <v>138</v>
      </c>
      <c r="E22" t="s">
        <v>94</v>
      </c>
      <c r="F22" t="s">
        <v>118</v>
      </c>
      <c r="G22">
        <v>9</v>
      </c>
      <c r="H22">
        <v>46</v>
      </c>
      <c r="I22">
        <v>42</v>
      </c>
      <c r="J22">
        <v>8</v>
      </c>
      <c r="K22" s="9" t="s">
        <v>291</v>
      </c>
    </row>
    <row r="23" spans="1:11" x14ac:dyDescent="0.55000000000000004">
      <c r="A23">
        <v>22</v>
      </c>
      <c r="B23" t="s">
        <v>135</v>
      </c>
      <c r="D23" t="s">
        <v>134</v>
      </c>
      <c r="E23" t="s">
        <v>94</v>
      </c>
      <c r="F23" t="s">
        <v>104</v>
      </c>
      <c r="G23">
        <v>6</v>
      </c>
      <c r="H23">
        <v>22</v>
      </c>
      <c r="I23">
        <v>10</v>
      </c>
      <c r="J23">
        <v>21</v>
      </c>
      <c r="K23" s="9" t="s">
        <v>133</v>
      </c>
    </row>
    <row r="24" spans="1:11" x14ac:dyDescent="0.55000000000000004">
      <c r="A24">
        <v>23</v>
      </c>
      <c r="B24" t="s">
        <v>36</v>
      </c>
      <c r="D24" t="s">
        <v>136</v>
      </c>
      <c r="E24" t="s">
        <v>94</v>
      </c>
      <c r="F24" t="s">
        <v>104</v>
      </c>
      <c r="G24">
        <v>3</v>
      </c>
      <c r="H24">
        <v>22</v>
      </c>
      <c r="I24">
        <v>4</v>
      </c>
      <c r="J24">
        <v>8</v>
      </c>
      <c r="K24" s="9" t="s">
        <v>286</v>
      </c>
    </row>
    <row r="25" spans="1:11" x14ac:dyDescent="0.55000000000000004">
      <c r="A25">
        <v>24</v>
      </c>
      <c r="B25" t="s">
        <v>36</v>
      </c>
      <c r="D25" t="s">
        <v>137</v>
      </c>
      <c r="E25" t="s">
        <v>94</v>
      </c>
      <c r="F25" t="s">
        <v>104</v>
      </c>
      <c r="G25">
        <v>1</v>
      </c>
      <c r="H25">
        <v>14</v>
      </c>
      <c r="I25">
        <v>3</v>
      </c>
      <c r="J25">
        <v>11</v>
      </c>
      <c r="K25" s="9" t="s">
        <v>290</v>
      </c>
    </row>
    <row r="26" spans="1:11" x14ac:dyDescent="0.55000000000000004">
      <c r="A26">
        <v>25</v>
      </c>
      <c r="B26" t="s">
        <v>135</v>
      </c>
      <c r="D26" t="s">
        <v>212</v>
      </c>
      <c r="E26" t="s">
        <v>94</v>
      </c>
      <c r="F26" t="s">
        <v>118</v>
      </c>
      <c r="G26">
        <v>2</v>
      </c>
      <c r="H26">
        <v>5</v>
      </c>
      <c r="I26">
        <v>17</v>
      </c>
      <c r="J26">
        <v>2</v>
      </c>
      <c r="K26" s="9" t="s">
        <v>290</v>
      </c>
    </row>
    <row r="27" spans="1:11" x14ac:dyDescent="0.55000000000000004">
      <c r="A27">
        <v>26</v>
      </c>
      <c r="B27" t="s">
        <v>36</v>
      </c>
      <c r="D27" t="s">
        <v>130</v>
      </c>
      <c r="E27" t="s">
        <v>87</v>
      </c>
      <c r="F27" t="s">
        <v>104</v>
      </c>
      <c r="G27">
        <v>5</v>
      </c>
      <c r="H27">
        <v>35</v>
      </c>
      <c r="I27">
        <v>21</v>
      </c>
      <c r="J27">
        <v>6</v>
      </c>
    </row>
    <row r="28" spans="1:11" x14ac:dyDescent="0.55000000000000004">
      <c r="A28">
        <v>27</v>
      </c>
      <c r="B28" t="s">
        <v>36</v>
      </c>
      <c r="D28" t="s">
        <v>129</v>
      </c>
      <c r="E28" t="s">
        <v>87</v>
      </c>
      <c r="F28" t="s">
        <v>104</v>
      </c>
      <c r="G28">
        <v>4</v>
      </c>
      <c r="H28">
        <v>27</v>
      </c>
      <c r="I28">
        <v>10</v>
      </c>
      <c r="J28">
        <v>17</v>
      </c>
    </row>
    <row r="29" spans="1:11" x14ac:dyDescent="0.55000000000000004">
      <c r="A29">
        <v>28</v>
      </c>
      <c r="B29" t="s">
        <v>36</v>
      </c>
      <c r="D29" t="s">
        <v>131</v>
      </c>
      <c r="E29" t="s">
        <v>87</v>
      </c>
      <c r="F29" t="s">
        <v>104</v>
      </c>
      <c r="G29">
        <v>3</v>
      </c>
      <c r="H29">
        <v>22</v>
      </c>
      <c r="I29">
        <v>11</v>
      </c>
      <c r="J29">
        <v>11</v>
      </c>
    </row>
    <row r="30" spans="1:11" x14ac:dyDescent="0.55000000000000004">
      <c r="A30">
        <v>29</v>
      </c>
      <c r="B30" t="s">
        <v>36</v>
      </c>
      <c r="D30" t="s">
        <v>132</v>
      </c>
      <c r="E30" t="s">
        <v>87</v>
      </c>
      <c r="F30" t="s">
        <v>104</v>
      </c>
      <c r="G30">
        <v>2</v>
      </c>
      <c r="H30">
        <v>15</v>
      </c>
      <c r="I30">
        <v>11</v>
      </c>
      <c r="J30">
        <v>8</v>
      </c>
    </row>
    <row r="31" spans="1:11" x14ac:dyDescent="0.55000000000000004">
      <c r="A31">
        <v>30</v>
      </c>
      <c r="B31" t="s">
        <v>135</v>
      </c>
      <c r="C31" t="s">
        <v>398</v>
      </c>
      <c r="D31" t="s">
        <v>256</v>
      </c>
      <c r="E31" t="s">
        <v>105</v>
      </c>
      <c r="F31" t="s">
        <v>118</v>
      </c>
      <c r="G31">
        <v>1</v>
      </c>
      <c r="H31">
        <v>4</v>
      </c>
      <c r="I31">
        <v>8</v>
      </c>
      <c r="J31">
        <v>4</v>
      </c>
      <c r="K31" s="9" t="s">
        <v>290</v>
      </c>
    </row>
    <row r="32" spans="1:11" ht="54" x14ac:dyDescent="0.55000000000000004">
      <c r="A32">
        <v>31</v>
      </c>
      <c r="B32" t="s">
        <v>135</v>
      </c>
      <c r="D32" t="s">
        <v>173</v>
      </c>
      <c r="E32" t="s">
        <v>94</v>
      </c>
      <c r="F32" t="s">
        <v>91</v>
      </c>
      <c r="G32">
        <v>13</v>
      </c>
      <c r="H32" t="s">
        <v>85</v>
      </c>
      <c r="I32" t="s">
        <v>85</v>
      </c>
      <c r="J32" t="s">
        <v>85</v>
      </c>
      <c r="K32" s="9" t="s">
        <v>174</v>
      </c>
    </row>
    <row r="33" spans="1:11" x14ac:dyDescent="0.55000000000000004">
      <c r="A33">
        <v>32</v>
      </c>
      <c r="B33" t="s">
        <v>36</v>
      </c>
      <c r="D33" t="s">
        <v>128</v>
      </c>
      <c r="E33" t="s">
        <v>94</v>
      </c>
      <c r="F33" t="s">
        <v>91</v>
      </c>
      <c r="G33">
        <v>4</v>
      </c>
      <c r="H33" t="s">
        <v>85</v>
      </c>
      <c r="I33" t="s">
        <v>85</v>
      </c>
      <c r="J33" t="s">
        <v>85</v>
      </c>
      <c r="K33" s="9" t="s">
        <v>363</v>
      </c>
    </row>
    <row r="34" spans="1:11" x14ac:dyDescent="0.55000000000000004">
      <c r="A34">
        <v>33</v>
      </c>
      <c r="B34" t="s">
        <v>135</v>
      </c>
      <c r="D34" t="s">
        <v>258</v>
      </c>
      <c r="E34" t="s">
        <v>113</v>
      </c>
      <c r="F34" t="s">
        <v>86</v>
      </c>
      <c r="G34">
        <v>5</v>
      </c>
      <c r="H34">
        <v>30</v>
      </c>
      <c r="K34" s="9" t="s">
        <v>259</v>
      </c>
    </row>
    <row r="35" spans="1:11" ht="36" x14ac:dyDescent="0.55000000000000004">
      <c r="A35">
        <v>34</v>
      </c>
      <c r="B35" t="s">
        <v>36</v>
      </c>
      <c r="D35" t="s">
        <v>127</v>
      </c>
      <c r="E35" t="s">
        <v>94</v>
      </c>
      <c r="F35" t="s">
        <v>100</v>
      </c>
      <c r="G35">
        <v>3</v>
      </c>
      <c r="H35">
        <v>42</v>
      </c>
      <c r="I35" t="s">
        <v>85</v>
      </c>
      <c r="J35" t="s">
        <v>85</v>
      </c>
      <c r="K35" s="9" t="s">
        <v>168</v>
      </c>
    </row>
    <row r="36" spans="1:11" ht="54" x14ac:dyDescent="0.55000000000000004">
      <c r="A36">
        <v>35</v>
      </c>
      <c r="B36" t="s">
        <v>124</v>
      </c>
      <c r="D36" t="s">
        <v>199</v>
      </c>
      <c r="E36" t="s">
        <v>108</v>
      </c>
      <c r="F36" t="s">
        <v>118</v>
      </c>
      <c r="G36">
        <v>10</v>
      </c>
      <c r="H36">
        <v>40</v>
      </c>
      <c r="I36">
        <v>15</v>
      </c>
      <c r="J36">
        <v>22</v>
      </c>
      <c r="K36" s="9" t="s">
        <v>368</v>
      </c>
    </row>
    <row r="37" spans="1:11" ht="54" x14ac:dyDescent="0.55000000000000004">
      <c r="A37">
        <v>36</v>
      </c>
      <c r="B37" t="s">
        <v>124</v>
      </c>
      <c r="C37" t="s">
        <v>179</v>
      </c>
      <c r="D37" t="s">
        <v>177</v>
      </c>
      <c r="E37" t="s">
        <v>230</v>
      </c>
      <c r="F37" t="s">
        <v>118</v>
      </c>
      <c r="G37">
        <v>10</v>
      </c>
      <c r="H37">
        <v>53</v>
      </c>
      <c r="I37">
        <v>0</v>
      </c>
      <c r="J37">
        <v>0</v>
      </c>
      <c r="K37" s="9" t="s">
        <v>385</v>
      </c>
    </row>
    <row r="38" spans="1:11" ht="36" x14ac:dyDescent="0.55000000000000004">
      <c r="A38">
        <v>37</v>
      </c>
      <c r="B38" t="s">
        <v>124</v>
      </c>
      <c r="D38" t="s">
        <v>126</v>
      </c>
      <c r="E38" t="s">
        <v>94</v>
      </c>
      <c r="F38" t="s">
        <v>118</v>
      </c>
      <c r="G38">
        <v>10</v>
      </c>
      <c r="H38">
        <v>53</v>
      </c>
      <c r="I38">
        <v>22</v>
      </c>
      <c r="J38">
        <v>12</v>
      </c>
      <c r="K38" s="9" t="s">
        <v>188</v>
      </c>
    </row>
    <row r="39" spans="1:11" ht="36" x14ac:dyDescent="0.55000000000000004">
      <c r="A39">
        <v>38</v>
      </c>
      <c r="B39" t="s">
        <v>124</v>
      </c>
      <c r="D39" t="s">
        <v>205</v>
      </c>
      <c r="E39" t="s">
        <v>94</v>
      </c>
      <c r="F39" t="s">
        <v>118</v>
      </c>
      <c r="G39">
        <v>8</v>
      </c>
      <c r="H39">
        <v>50</v>
      </c>
      <c r="I39">
        <v>15</v>
      </c>
      <c r="J39">
        <v>0</v>
      </c>
      <c r="K39" s="9" t="s">
        <v>300</v>
      </c>
    </row>
    <row r="40" spans="1:11" ht="36" x14ac:dyDescent="0.55000000000000004">
      <c r="A40">
        <v>39</v>
      </c>
      <c r="B40" t="s">
        <v>124</v>
      </c>
      <c r="D40" t="s">
        <v>223</v>
      </c>
      <c r="E40" t="s">
        <v>87</v>
      </c>
      <c r="F40" t="s">
        <v>118</v>
      </c>
      <c r="G40">
        <v>3</v>
      </c>
      <c r="H40">
        <v>23</v>
      </c>
      <c r="I40">
        <v>10</v>
      </c>
      <c r="J40">
        <v>7</v>
      </c>
      <c r="K40" s="9" t="s">
        <v>224</v>
      </c>
    </row>
    <row r="41" spans="1:11" x14ac:dyDescent="0.55000000000000004">
      <c r="A41">
        <v>40</v>
      </c>
      <c r="B41" t="s">
        <v>124</v>
      </c>
      <c r="D41" t="s">
        <v>222</v>
      </c>
      <c r="E41" t="s">
        <v>87</v>
      </c>
      <c r="F41" t="s">
        <v>118</v>
      </c>
      <c r="G41">
        <v>3</v>
      </c>
      <c r="H41">
        <v>10</v>
      </c>
      <c r="I41">
        <v>20</v>
      </c>
      <c r="J41">
        <v>6</v>
      </c>
    </row>
    <row r="42" spans="1:11" ht="72" x14ac:dyDescent="0.55000000000000004">
      <c r="A42">
        <v>41</v>
      </c>
      <c r="B42" t="s">
        <v>124</v>
      </c>
      <c r="D42" t="s">
        <v>200</v>
      </c>
      <c r="E42" t="s">
        <v>113</v>
      </c>
      <c r="F42" t="s">
        <v>91</v>
      </c>
      <c r="G42">
        <v>10</v>
      </c>
      <c r="K42" s="9" t="s">
        <v>221</v>
      </c>
    </row>
    <row r="43" spans="1:11" ht="36" x14ac:dyDescent="0.55000000000000004">
      <c r="A43">
        <v>42</v>
      </c>
      <c r="B43" t="s">
        <v>124</v>
      </c>
      <c r="D43" t="s">
        <v>125</v>
      </c>
      <c r="E43" t="s">
        <v>113</v>
      </c>
      <c r="F43" t="s">
        <v>91</v>
      </c>
      <c r="G43">
        <v>7</v>
      </c>
      <c r="H43" t="s">
        <v>85</v>
      </c>
      <c r="I43" t="s">
        <v>85</v>
      </c>
      <c r="J43" t="s">
        <v>85</v>
      </c>
      <c r="K43" s="9" t="s">
        <v>384</v>
      </c>
    </row>
    <row r="44" spans="1:11" x14ac:dyDescent="0.55000000000000004">
      <c r="A44">
        <v>43</v>
      </c>
      <c r="B44" t="s">
        <v>124</v>
      </c>
      <c r="E44" t="s">
        <v>94</v>
      </c>
      <c r="F44" t="s">
        <v>91</v>
      </c>
      <c r="G44">
        <v>4</v>
      </c>
      <c r="K44" s="9" t="s">
        <v>210</v>
      </c>
    </row>
    <row r="45" spans="1:11" ht="36" x14ac:dyDescent="0.55000000000000004">
      <c r="A45">
        <v>44</v>
      </c>
      <c r="B45" t="s">
        <v>124</v>
      </c>
      <c r="D45" t="s">
        <v>201</v>
      </c>
      <c r="F45" t="s">
        <v>91</v>
      </c>
      <c r="G45">
        <v>3</v>
      </c>
      <c r="K45" s="9" t="s">
        <v>202</v>
      </c>
    </row>
    <row r="46" spans="1:11" ht="36" x14ac:dyDescent="0.55000000000000004">
      <c r="A46">
        <v>45</v>
      </c>
      <c r="B46" t="s">
        <v>124</v>
      </c>
      <c r="D46" t="s">
        <v>123</v>
      </c>
      <c r="E46" t="s">
        <v>94</v>
      </c>
      <c r="F46" t="s">
        <v>86</v>
      </c>
      <c r="G46">
        <v>3</v>
      </c>
      <c r="H46">
        <v>42</v>
      </c>
      <c r="I46" t="s">
        <v>85</v>
      </c>
      <c r="J46" t="s">
        <v>85</v>
      </c>
      <c r="K46" s="9" t="s">
        <v>434</v>
      </c>
    </row>
    <row r="47" spans="1:11" ht="54" x14ac:dyDescent="0.55000000000000004">
      <c r="A47">
        <v>46</v>
      </c>
      <c r="B47" t="s">
        <v>112</v>
      </c>
      <c r="E47" t="s">
        <v>113</v>
      </c>
      <c r="F47" t="s">
        <v>118</v>
      </c>
      <c r="G47">
        <v>6</v>
      </c>
      <c r="H47">
        <v>45</v>
      </c>
      <c r="I47">
        <v>8</v>
      </c>
      <c r="J47">
        <v>0</v>
      </c>
      <c r="K47" s="9" t="s">
        <v>301</v>
      </c>
    </row>
    <row r="48" spans="1:11" x14ac:dyDescent="0.55000000000000004">
      <c r="A48">
        <v>47</v>
      </c>
      <c r="B48" t="s">
        <v>112</v>
      </c>
      <c r="D48" t="s">
        <v>249</v>
      </c>
      <c r="E48" t="s">
        <v>113</v>
      </c>
      <c r="F48" t="s">
        <v>118</v>
      </c>
      <c r="G48">
        <v>4</v>
      </c>
      <c r="H48">
        <v>35</v>
      </c>
      <c r="I48">
        <v>20</v>
      </c>
      <c r="J48">
        <v>6</v>
      </c>
      <c r="K48" s="9" t="s">
        <v>122</v>
      </c>
    </row>
    <row r="49" spans="1:11" ht="36" x14ac:dyDescent="0.55000000000000004">
      <c r="A49">
        <v>48</v>
      </c>
      <c r="B49" t="s">
        <v>112</v>
      </c>
      <c r="D49" t="s">
        <v>428</v>
      </c>
      <c r="E49" t="s">
        <v>94</v>
      </c>
      <c r="F49" t="s">
        <v>118</v>
      </c>
      <c r="G49">
        <v>2</v>
      </c>
      <c r="H49">
        <v>15</v>
      </c>
      <c r="I49">
        <v>8</v>
      </c>
      <c r="J49">
        <v>10</v>
      </c>
      <c r="K49" s="9" t="s">
        <v>292</v>
      </c>
    </row>
    <row r="50" spans="1:11" ht="72" x14ac:dyDescent="0.55000000000000004">
      <c r="A50">
        <v>49</v>
      </c>
      <c r="B50" t="s">
        <v>112</v>
      </c>
      <c r="E50" t="s">
        <v>94</v>
      </c>
      <c r="F50" t="s">
        <v>118</v>
      </c>
      <c r="G50">
        <v>5</v>
      </c>
      <c r="H50">
        <v>35</v>
      </c>
      <c r="I50">
        <v>14</v>
      </c>
      <c r="J50">
        <v>12</v>
      </c>
      <c r="K50" s="9" t="s">
        <v>302</v>
      </c>
    </row>
    <row r="51" spans="1:11" x14ac:dyDescent="0.55000000000000004">
      <c r="A51">
        <v>50</v>
      </c>
      <c r="B51" t="s">
        <v>112</v>
      </c>
      <c r="D51" t="s">
        <v>206</v>
      </c>
      <c r="E51" t="s">
        <v>87</v>
      </c>
      <c r="F51" t="s">
        <v>104</v>
      </c>
      <c r="G51">
        <v>3</v>
      </c>
      <c r="H51">
        <v>20</v>
      </c>
      <c r="I51">
        <v>3</v>
      </c>
      <c r="J51">
        <v>3</v>
      </c>
      <c r="K51" s="9" t="s">
        <v>433</v>
      </c>
    </row>
    <row r="52" spans="1:11" x14ac:dyDescent="0.55000000000000004">
      <c r="A52">
        <v>51</v>
      </c>
      <c r="B52" t="s">
        <v>112</v>
      </c>
      <c r="D52" t="s">
        <v>121</v>
      </c>
      <c r="E52" t="s">
        <v>87</v>
      </c>
      <c r="F52" t="s">
        <v>104</v>
      </c>
      <c r="G52">
        <v>3</v>
      </c>
      <c r="H52">
        <v>17</v>
      </c>
      <c r="I52">
        <v>4</v>
      </c>
      <c r="J52">
        <v>11</v>
      </c>
      <c r="K52" s="9" t="s">
        <v>369</v>
      </c>
    </row>
    <row r="53" spans="1:11" ht="36" x14ac:dyDescent="0.55000000000000004">
      <c r="A53">
        <v>52</v>
      </c>
      <c r="B53" t="s">
        <v>112</v>
      </c>
      <c r="D53" t="s">
        <v>120</v>
      </c>
      <c r="E53" t="s">
        <v>105</v>
      </c>
      <c r="F53" t="s">
        <v>104</v>
      </c>
      <c r="G53">
        <v>8</v>
      </c>
      <c r="H53">
        <v>42</v>
      </c>
      <c r="I53">
        <v>21</v>
      </c>
      <c r="J53">
        <v>30</v>
      </c>
      <c r="K53" s="9" t="s">
        <v>293</v>
      </c>
    </row>
    <row r="54" spans="1:11" ht="90" x14ac:dyDescent="0.55000000000000004">
      <c r="A54">
        <v>53</v>
      </c>
      <c r="B54" t="s">
        <v>112</v>
      </c>
      <c r="D54" t="s">
        <v>184</v>
      </c>
      <c r="E54" t="s">
        <v>105</v>
      </c>
      <c r="F54" t="s">
        <v>118</v>
      </c>
      <c r="G54">
        <v>6</v>
      </c>
      <c r="H54">
        <v>50</v>
      </c>
      <c r="I54">
        <v>20</v>
      </c>
      <c r="J54">
        <v>30</v>
      </c>
      <c r="K54" s="9" t="s">
        <v>371</v>
      </c>
    </row>
    <row r="55" spans="1:11" ht="72" x14ac:dyDescent="0.55000000000000004">
      <c r="A55">
        <v>54</v>
      </c>
      <c r="B55" t="s">
        <v>112</v>
      </c>
      <c r="D55" t="s">
        <v>119</v>
      </c>
      <c r="E55" t="s">
        <v>105</v>
      </c>
      <c r="F55" t="s">
        <v>118</v>
      </c>
      <c r="G55">
        <v>3</v>
      </c>
      <c r="H55">
        <v>22</v>
      </c>
      <c r="I55">
        <v>7</v>
      </c>
      <c r="J55">
        <v>12</v>
      </c>
      <c r="K55" s="9" t="s">
        <v>370</v>
      </c>
    </row>
    <row r="56" spans="1:11" x14ac:dyDescent="0.55000000000000004">
      <c r="A56">
        <v>55</v>
      </c>
      <c r="B56" t="s">
        <v>112</v>
      </c>
      <c r="D56" t="s">
        <v>252</v>
      </c>
      <c r="E56" t="s">
        <v>113</v>
      </c>
      <c r="F56" t="s">
        <v>96</v>
      </c>
      <c r="G56">
        <v>7</v>
      </c>
      <c r="K56" s="9" t="s">
        <v>251</v>
      </c>
    </row>
    <row r="57" spans="1:11" ht="54" x14ac:dyDescent="0.55000000000000004">
      <c r="A57">
        <v>56</v>
      </c>
      <c r="B57" t="s">
        <v>112</v>
      </c>
      <c r="D57" t="s">
        <v>195</v>
      </c>
      <c r="E57" t="s">
        <v>113</v>
      </c>
      <c r="F57" t="s">
        <v>91</v>
      </c>
      <c r="G57">
        <v>4</v>
      </c>
      <c r="K57" s="9" t="s">
        <v>250</v>
      </c>
    </row>
    <row r="58" spans="1:11" ht="36" x14ac:dyDescent="0.55000000000000004">
      <c r="A58">
        <v>57</v>
      </c>
      <c r="B58" t="s">
        <v>112</v>
      </c>
      <c r="D58" t="s">
        <v>429</v>
      </c>
      <c r="E58" t="s">
        <v>94</v>
      </c>
      <c r="F58" t="s">
        <v>91</v>
      </c>
      <c r="G58">
        <v>2</v>
      </c>
      <c r="K58" s="9" t="s">
        <v>241</v>
      </c>
    </row>
    <row r="59" spans="1:11" ht="36" x14ac:dyDescent="0.55000000000000004">
      <c r="A59">
        <v>58</v>
      </c>
      <c r="B59" t="s">
        <v>112</v>
      </c>
      <c r="E59" t="s">
        <v>94</v>
      </c>
      <c r="F59" t="s">
        <v>91</v>
      </c>
      <c r="G59">
        <v>3</v>
      </c>
      <c r="K59" s="9" t="s">
        <v>430</v>
      </c>
    </row>
    <row r="60" spans="1:11" ht="36" x14ac:dyDescent="0.55000000000000004">
      <c r="A60">
        <v>59</v>
      </c>
      <c r="B60" t="s">
        <v>112</v>
      </c>
      <c r="D60" t="s">
        <v>116</v>
      </c>
      <c r="E60" t="s">
        <v>94</v>
      </c>
      <c r="F60" t="s">
        <v>96</v>
      </c>
      <c r="G60">
        <v>5</v>
      </c>
      <c r="H60" t="s">
        <v>85</v>
      </c>
      <c r="I60" t="s">
        <v>85</v>
      </c>
      <c r="J60" t="s">
        <v>85</v>
      </c>
      <c r="K60" s="9" t="s">
        <v>240</v>
      </c>
    </row>
    <row r="61" spans="1:11" x14ac:dyDescent="0.55000000000000004">
      <c r="A61">
        <v>60</v>
      </c>
      <c r="B61" t="s">
        <v>112</v>
      </c>
      <c r="E61" t="s">
        <v>94</v>
      </c>
      <c r="F61" t="s">
        <v>91</v>
      </c>
      <c r="G61">
        <v>2</v>
      </c>
      <c r="H61" t="s">
        <v>85</v>
      </c>
      <c r="I61" t="s">
        <v>85</v>
      </c>
      <c r="J61" t="s">
        <v>85</v>
      </c>
      <c r="K61" s="9" t="s">
        <v>117</v>
      </c>
    </row>
    <row r="62" spans="1:11" ht="36" x14ac:dyDescent="0.55000000000000004">
      <c r="A62">
        <v>61</v>
      </c>
      <c r="B62" t="s">
        <v>112</v>
      </c>
      <c r="E62" t="s">
        <v>94</v>
      </c>
      <c r="F62" t="s">
        <v>91</v>
      </c>
      <c r="G62">
        <v>1</v>
      </c>
      <c r="K62" s="9" t="s">
        <v>208</v>
      </c>
    </row>
    <row r="63" spans="1:11" ht="36" x14ac:dyDescent="0.55000000000000004">
      <c r="A63">
        <v>62</v>
      </c>
      <c r="B63" t="s">
        <v>112</v>
      </c>
      <c r="D63" t="s">
        <v>247</v>
      </c>
      <c r="E63" t="s">
        <v>94</v>
      </c>
      <c r="F63" t="s">
        <v>91</v>
      </c>
      <c r="G63">
        <v>2</v>
      </c>
      <c r="K63" s="9" t="s">
        <v>248</v>
      </c>
    </row>
    <row r="64" spans="1:11" ht="36" x14ac:dyDescent="0.55000000000000004">
      <c r="A64">
        <v>63</v>
      </c>
      <c r="B64" t="s">
        <v>112</v>
      </c>
      <c r="C64" t="s">
        <v>269</v>
      </c>
      <c r="D64" t="s">
        <v>268</v>
      </c>
      <c r="E64" t="s">
        <v>94</v>
      </c>
      <c r="F64" t="s">
        <v>91</v>
      </c>
      <c r="G64">
        <v>2</v>
      </c>
      <c r="K64" s="9" t="s">
        <v>267</v>
      </c>
    </row>
    <row r="65" spans="1:11" ht="36" x14ac:dyDescent="0.55000000000000004">
      <c r="A65">
        <v>64</v>
      </c>
      <c r="B65" t="s">
        <v>112</v>
      </c>
      <c r="D65" t="s">
        <v>115</v>
      </c>
      <c r="E65" t="s">
        <v>87</v>
      </c>
      <c r="F65" t="s">
        <v>91</v>
      </c>
      <c r="G65">
        <v>2</v>
      </c>
      <c r="H65" t="s">
        <v>85</v>
      </c>
      <c r="I65" t="s">
        <v>85</v>
      </c>
      <c r="J65" t="s">
        <v>85</v>
      </c>
      <c r="K65" s="9" t="s">
        <v>236</v>
      </c>
    </row>
    <row r="66" spans="1:11" ht="54" x14ac:dyDescent="0.55000000000000004">
      <c r="A66">
        <v>65</v>
      </c>
      <c r="B66" t="s">
        <v>112</v>
      </c>
      <c r="D66" t="s">
        <v>183</v>
      </c>
      <c r="E66" t="s">
        <v>108</v>
      </c>
      <c r="F66" t="s">
        <v>86</v>
      </c>
      <c r="G66">
        <v>6</v>
      </c>
      <c r="H66">
        <v>50</v>
      </c>
      <c r="K66" s="9" t="s">
        <v>239</v>
      </c>
    </row>
    <row r="67" spans="1:11" ht="36" x14ac:dyDescent="0.55000000000000004">
      <c r="A67">
        <v>66</v>
      </c>
      <c r="B67" t="s">
        <v>112</v>
      </c>
      <c r="D67" t="s">
        <v>114</v>
      </c>
      <c r="E67" t="s">
        <v>113</v>
      </c>
      <c r="F67" t="s">
        <v>86</v>
      </c>
      <c r="G67">
        <v>2</v>
      </c>
      <c r="H67">
        <v>42</v>
      </c>
      <c r="I67" t="s">
        <v>85</v>
      </c>
      <c r="J67" t="s">
        <v>85</v>
      </c>
      <c r="K67" s="9" t="s">
        <v>435</v>
      </c>
    </row>
    <row r="68" spans="1:11" ht="36" x14ac:dyDescent="0.55000000000000004">
      <c r="A68">
        <v>67</v>
      </c>
      <c r="B68" t="s">
        <v>112</v>
      </c>
      <c r="D68" t="s">
        <v>111</v>
      </c>
      <c r="E68" t="s">
        <v>94</v>
      </c>
      <c r="F68" t="s">
        <v>86</v>
      </c>
      <c r="G68">
        <v>2</v>
      </c>
      <c r="H68">
        <v>14</v>
      </c>
      <c r="I68" t="s">
        <v>85</v>
      </c>
      <c r="J68" t="s">
        <v>85</v>
      </c>
      <c r="K68" s="9" t="s">
        <v>169</v>
      </c>
    </row>
    <row r="69" spans="1:11" ht="54" x14ac:dyDescent="0.55000000000000004">
      <c r="A69">
        <v>68</v>
      </c>
      <c r="B69" t="s">
        <v>107</v>
      </c>
      <c r="D69" t="s">
        <v>361</v>
      </c>
      <c r="E69" t="s">
        <v>108</v>
      </c>
      <c r="F69" t="s">
        <v>118</v>
      </c>
      <c r="G69">
        <v>10</v>
      </c>
      <c r="H69">
        <v>100</v>
      </c>
      <c r="I69">
        <v>10</v>
      </c>
      <c r="J69">
        <v>10</v>
      </c>
      <c r="K69" s="9" t="s">
        <v>372</v>
      </c>
    </row>
    <row r="70" spans="1:11" ht="36" x14ac:dyDescent="0.55000000000000004">
      <c r="A70">
        <v>69</v>
      </c>
      <c r="B70" t="s">
        <v>107</v>
      </c>
      <c r="E70" t="s">
        <v>113</v>
      </c>
      <c r="F70" t="s">
        <v>118</v>
      </c>
      <c r="G70">
        <v>3</v>
      </c>
      <c r="H70">
        <v>25</v>
      </c>
      <c r="I70">
        <v>10</v>
      </c>
      <c r="J70">
        <v>0</v>
      </c>
      <c r="K70" s="9" t="s">
        <v>373</v>
      </c>
    </row>
    <row r="71" spans="1:11" ht="54" x14ac:dyDescent="0.55000000000000004">
      <c r="A71">
        <v>70</v>
      </c>
      <c r="B71" t="s">
        <v>107</v>
      </c>
      <c r="D71" t="s">
        <v>110</v>
      </c>
      <c r="E71" t="s">
        <v>94</v>
      </c>
      <c r="F71" t="s">
        <v>104</v>
      </c>
      <c r="G71">
        <v>5</v>
      </c>
      <c r="H71">
        <v>42</v>
      </c>
      <c r="I71">
        <v>17</v>
      </c>
      <c r="J71">
        <v>0</v>
      </c>
      <c r="K71" s="9" t="s">
        <v>303</v>
      </c>
    </row>
    <row r="72" spans="1:11" ht="36" x14ac:dyDescent="0.55000000000000004">
      <c r="A72">
        <v>71</v>
      </c>
      <c r="B72" t="s">
        <v>107</v>
      </c>
      <c r="D72" t="s">
        <v>191</v>
      </c>
      <c r="E72" t="s">
        <v>105</v>
      </c>
      <c r="F72" t="s">
        <v>118</v>
      </c>
      <c r="G72">
        <v>1</v>
      </c>
      <c r="H72">
        <v>10</v>
      </c>
      <c r="I72">
        <v>4</v>
      </c>
      <c r="J72">
        <v>0</v>
      </c>
      <c r="K72" s="9" t="s">
        <v>304</v>
      </c>
    </row>
    <row r="73" spans="1:11" ht="36" x14ac:dyDescent="0.55000000000000004">
      <c r="A73">
        <v>72</v>
      </c>
      <c r="B73" t="s">
        <v>107</v>
      </c>
      <c r="D73" t="s">
        <v>185</v>
      </c>
      <c r="E73" t="s">
        <v>94</v>
      </c>
      <c r="F73" t="s">
        <v>91</v>
      </c>
      <c r="G73">
        <v>1</v>
      </c>
      <c r="K73" s="9" t="s">
        <v>186</v>
      </c>
    </row>
    <row r="74" spans="1:11" x14ac:dyDescent="0.55000000000000004">
      <c r="A74">
        <v>73</v>
      </c>
      <c r="B74" t="s">
        <v>107</v>
      </c>
      <c r="D74" t="s">
        <v>380</v>
      </c>
      <c r="E74" t="s">
        <v>94</v>
      </c>
      <c r="F74" t="s">
        <v>91</v>
      </c>
      <c r="G74">
        <v>3</v>
      </c>
      <c r="K74" s="9" t="s">
        <v>379</v>
      </c>
    </row>
    <row r="75" spans="1:11" ht="54" x14ac:dyDescent="0.55000000000000004">
      <c r="A75">
        <v>74</v>
      </c>
      <c r="B75" t="s">
        <v>107</v>
      </c>
      <c r="D75" t="s">
        <v>182</v>
      </c>
      <c r="E75" t="s">
        <v>108</v>
      </c>
      <c r="F75" t="s">
        <v>86</v>
      </c>
      <c r="G75">
        <v>10</v>
      </c>
      <c r="H75">
        <v>54</v>
      </c>
      <c r="K75" s="9" t="s">
        <v>365</v>
      </c>
    </row>
    <row r="76" spans="1:11" ht="72" x14ac:dyDescent="0.55000000000000004">
      <c r="A76">
        <v>75</v>
      </c>
      <c r="B76" t="s">
        <v>107</v>
      </c>
      <c r="D76" t="s">
        <v>109</v>
      </c>
      <c r="E76" t="s">
        <v>108</v>
      </c>
      <c r="F76" t="s">
        <v>100</v>
      </c>
      <c r="G76">
        <v>3</v>
      </c>
      <c r="H76">
        <v>56</v>
      </c>
      <c r="I76" t="s">
        <v>85</v>
      </c>
      <c r="J76" t="s">
        <v>85</v>
      </c>
      <c r="K76" s="9" t="s">
        <v>198</v>
      </c>
    </row>
    <row r="77" spans="1:11" ht="90" x14ac:dyDescent="0.55000000000000004">
      <c r="A77">
        <v>76</v>
      </c>
      <c r="B77" t="s">
        <v>107</v>
      </c>
      <c r="D77" t="s">
        <v>181</v>
      </c>
      <c r="E77" t="s">
        <v>113</v>
      </c>
      <c r="F77" t="s">
        <v>86</v>
      </c>
      <c r="G77">
        <v>6</v>
      </c>
      <c r="H77">
        <v>50</v>
      </c>
      <c r="K77" s="9" t="s">
        <v>309</v>
      </c>
    </row>
    <row r="78" spans="1:11" ht="36" x14ac:dyDescent="0.55000000000000004">
      <c r="A78">
        <v>77</v>
      </c>
      <c r="B78" t="s">
        <v>107</v>
      </c>
      <c r="E78" t="s">
        <v>94</v>
      </c>
      <c r="F78" t="s">
        <v>86</v>
      </c>
      <c r="G78">
        <v>5</v>
      </c>
      <c r="H78">
        <v>98</v>
      </c>
      <c r="I78" t="s">
        <v>85</v>
      </c>
      <c r="J78" t="s">
        <v>85</v>
      </c>
      <c r="K78" s="9" t="s">
        <v>171</v>
      </c>
    </row>
    <row r="79" spans="1:11" ht="36" x14ac:dyDescent="0.55000000000000004">
      <c r="A79">
        <v>78</v>
      </c>
      <c r="B79" t="s">
        <v>107</v>
      </c>
      <c r="D79" t="s">
        <v>180</v>
      </c>
      <c r="E79" t="s">
        <v>94</v>
      </c>
      <c r="F79" t="s">
        <v>86</v>
      </c>
      <c r="G79">
        <v>4</v>
      </c>
      <c r="H79">
        <v>40</v>
      </c>
      <c r="K79" s="9" t="s">
        <v>187</v>
      </c>
    </row>
    <row r="80" spans="1:11" ht="36" x14ac:dyDescent="0.55000000000000004">
      <c r="A80">
        <v>79</v>
      </c>
      <c r="B80" t="s">
        <v>107</v>
      </c>
      <c r="E80" t="s">
        <v>94</v>
      </c>
      <c r="F80" t="s">
        <v>100</v>
      </c>
      <c r="G80">
        <v>3</v>
      </c>
      <c r="H80">
        <v>28</v>
      </c>
      <c r="I80" t="s">
        <v>85</v>
      </c>
      <c r="J80" t="s">
        <v>85</v>
      </c>
      <c r="K80" s="9" t="s">
        <v>170</v>
      </c>
    </row>
    <row r="81" spans="1:11" ht="36" x14ac:dyDescent="0.55000000000000004">
      <c r="A81">
        <v>80</v>
      </c>
      <c r="B81" t="s">
        <v>107</v>
      </c>
      <c r="D81" t="s">
        <v>260</v>
      </c>
      <c r="E81" t="s">
        <v>94</v>
      </c>
      <c r="F81" t="s">
        <v>86</v>
      </c>
      <c r="K81" s="9" t="s">
        <v>261</v>
      </c>
    </row>
    <row r="82" spans="1:11" ht="90" x14ac:dyDescent="0.55000000000000004">
      <c r="A82">
        <v>81</v>
      </c>
      <c r="B82" t="s">
        <v>103</v>
      </c>
      <c r="E82" t="s">
        <v>108</v>
      </c>
      <c r="F82" t="s">
        <v>118</v>
      </c>
      <c r="G82">
        <v>5</v>
      </c>
      <c r="H82">
        <v>50</v>
      </c>
      <c r="I82">
        <v>0</v>
      </c>
      <c r="J82">
        <v>0</v>
      </c>
      <c r="K82" s="9" t="s">
        <v>305</v>
      </c>
    </row>
    <row r="83" spans="1:11" x14ac:dyDescent="0.55000000000000004">
      <c r="A83">
        <v>82</v>
      </c>
      <c r="B83" t="s">
        <v>103</v>
      </c>
      <c r="C83" t="s">
        <v>234</v>
      </c>
      <c r="E83" t="s">
        <v>113</v>
      </c>
      <c r="F83" t="s">
        <v>118</v>
      </c>
      <c r="G83">
        <v>6</v>
      </c>
      <c r="H83">
        <v>43</v>
      </c>
      <c r="I83">
        <v>2</v>
      </c>
      <c r="J83" t="s">
        <v>225</v>
      </c>
      <c r="K83" s="9" t="s">
        <v>242</v>
      </c>
    </row>
    <row r="84" spans="1:11" ht="36" x14ac:dyDescent="0.55000000000000004">
      <c r="A84">
        <v>83</v>
      </c>
      <c r="B84" t="s">
        <v>103</v>
      </c>
      <c r="C84" t="s">
        <v>234</v>
      </c>
      <c r="E84" t="s">
        <v>94</v>
      </c>
      <c r="F84" t="s">
        <v>118</v>
      </c>
      <c r="G84">
        <v>2</v>
      </c>
      <c r="H84">
        <v>10</v>
      </c>
      <c r="I84">
        <v>15</v>
      </c>
      <c r="J84">
        <v>0</v>
      </c>
      <c r="K84" s="9" t="s">
        <v>295</v>
      </c>
    </row>
    <row r="85" spans="1:11" ht="36" x14ac:dyDescent="0.55000000000000004">
      <c r="A85">
        <v>84</v>
      </c>
      <c r="B85" t="s">
        <v>5</v>
      </c>
      <c r="D85" t="s">
        <v>193</v>
      </c>
      <c r="E85" t="s">
        <v>94</v>
      </c>
      <c r="F85" t="s">
        <v>104</v>
      </c>
      <c r="G85">
        <v>3</v>
      </c>
      <c r="H85">
        <v>22</v>
      </c>
      <c r="I85">
        <v>7</v>
      </c>
      <c r="J85">
        <v>3</v>
      </c>
      <c r="K85" s="9" t="s">
        <v>294</v>
      </c>
    </row>
    <row r="86" spans="1:11" x14ac:dyDescent="0.55000000000000004">
      <c r="A86">
        <v>85</v>
      </c>
      <c r="B86" t="s">
        <v>103</v>
      </c>
      <c r="C86" t="s">
        <v>234</v>
      </c>
      <c r="D86" t="s">
        <v>227</v>
      </c>
      <c r="E86" t="s">
        <v>94</v>
      </c>
      <c r="F86" t="s">
        <v>118</v>
      </c>
      <c r="G86">
        <v>2</v>
      </c>
      <c r="H86">
        <v>14</v>
      </c>
      <c r="I86">
        <v>7</v>
      </c>
      <c r="J86">
        <v>4</v>
      </c>
      <c r="K86" s="9" t="s">
        <v>287</v>
      </c>
    </row>
    <row r="87" spans="1:11" ht="36" x14ac:dyDescent="0.55000000000000004">
      <c r="A87">
        <v>86</v>
      </c>
      <c r="B87" t="s">
        <v>103</v>
      </c>
      <c r="C87" t="s">
        <v>234</v>
      </c>
      <c r="D87" t="s">
        <v>228</v>
      </c>
      <c r="E87" t="s">
        <v>94</v>
      </c>
      <c r="F87" t="s">
        <v>118</v>
      </c>
      <c r="G87">
        <v>2</v>
      </c>
      <c r="H87">
        <v>12</v>
      </c>
      <c r="I87">
        <v>10</v>
      </c>
      <c r="J87">
        <v>2</v>
      </c>
      <c r="K87" s="9" t="s">
        <v>376</v>
      </c>
    </row>
    <row r="88" spans="1:11" ht="36" x14ac:dyDescent="0.55000000000000004">
      <c r="A88">
        <v>87</v>
      </c>
      <c r="B88" t="s">
        <v>103</v>
      </c>
      <c r="C88" t="s">
        <v>234</v>
      </c>
      <c r="D88" t="s">
        <v>229</v>
      </c>
      <c r="E88" t="s">
        <v>230</v>
      </c>
      <c r="F88" t="s">
        <v>104</v>
      </c>
      <c r="G88">
        <v>2</v>
      </c>
      <c r="H88">
        <v>16</v>
      </c>
      <c r="I88">
        <v>3</v>
      </c>
      <c r="J88">
        <v>4</v>
      </c>
      <c r="K88" s="9" t="s">
        <v>375</v>
      </c>
    </row>
    <row r="89" spans="1:11" ht="36" x14ac:dyDescent="0.55000000000000004">
      <c r="A89">
        <v>88</v>
      </c>
      <c r="B89" t="s">
        <v>103</v>
      </c>
      <c r="C89" t="s">
        <v>234</v>
      </c>
      <c r="D89" t="s">
        <v>231</v>
      </c>
      <c r="E89" t="s">
        <v>230</v>
      </c>
      <c r="F89" t="s">
        <v>104</v>
      </c>
      <c r="G89">
        <v>3</v>
      </c>
      <c r="H89">
        <v>17</v>
      </c>
      <c r="I89">
        <v>14</v>
      </c>
      <c r="J89">
        <v>9</v>
      </c>
      <c r="K89" s="9" t="s">
        <v>377</v>
      </c>
    </row>
    <row r="90" spans="1:11" x14ac:dyDescent="0.55000000000000004">
      <c r="A90">
        <v>89</v>
      </c>
      <c r="B90" t="s">
        <v>103</v>
      </c>
      <c r="C90" t="s">
        <v>234</v>
      </c>
      <c r="D90" t="s">
        <v>226</v>
      </c>
      <c r="E90" t="s">
        <v>87</v>
      </c>
      <c r="F90" t="s">
        <v>118</v>
      </c>
      <c r="G90">
        <v>1</v>
      </c>
      <c r="H90">
        <v>10</v>
      </c>
      <c r="I90">
        <v>4</v>
      </c>
      <c r="J90">
        <v>4</v>
      </c>
      <c r="K90" s="9" t="s">
        <v>378</v>
      </c>
    </row>
    <row r="91" spans="1:11" ht="36" x14ac:dyDescent="0.55000000000000004">
      <c r="A91">
        <v>90</v>
      </c>
      <c r="B91" t="s">
        <v>103</v>
      </c>
      <c r="C91" t="s">
        <v>234</v>
      </c>
      <c r="D91" t="s">
        <v>235</v>
      </c>
      <c r="E91" t="s">
        <v>105</v>
      </c>
      <c r="F91" t="s">
        <v>104</v>
      </c>
      <c r="G91">
        <v>4</v>
      </c>
      <c r="H91">
        <v>28</v>
      </c>
      <c r="I91">
        <v>12</v>
      </c>
      <c r="J91">
        <v>10</v>
      </c>
      <c r="K91" s="9" t="s">
        <v>306</v>
      </c>
    </row>
    <row r="92" spans="1:11" ht="36" x14ac:dyDescent="0.55000000000000004">
      <c r="A92">
        <v>91</v>
      </c>
      <c r="B92" t="s">
        <v>103</v>
      </c>
      <c r="D92" t="s">
        <v>106</v>
      </c>
      <c r="E92" t="s">
        <v>105</v>
      </c>
      <c r="F92" t="s">
        <v>104</v>
      </c>
      <c r="G92">
        <v>2</v>
      </c>
      <c r="H92">
        <v>11</v>
      </c>
      <c r="I92">
        <v>7</v>
      </c>
      <c r="J92">
        <v>3</v>
      </c>
      <c r="K92" s="9" t="s">
        <v>192</v>
      </c>
    </row>
    <row r="93" spans="1:11" ht="54" x14ac:dyDescent="0.55000000000000004">
      <c r="A93">
        <v>92</v>
      </c>
      <c r="B93" t="s">
        <v>103</v>
      </c>
      <c r="D93" t="s">
        <v>211</v>
      </c>
      <c r="E93" t="s">
        <v>105</v>
      </c>
      <c r="F93" t="s">
        <v>104</v>
      </c>
      <c r="G93">
        <v>3</v>
      </c>
      <c r="H93">
        <v>8</v>
      </c>
      <c r="I93">
        <v>15</v>
      </c>
      <c r="J93">
        <v>1</v>
      </c>
      <c r="K93" s="9" t="s">
        <v>296</v>
      </c>
    </row>
    <row r="94" spans="1:11" x14ac:dyDescent="0.55000000000000004">
      <c r="A94">
        <v>93</v>
      </c>
      <c r="B94" t="s">
        <v>103</v>
      </c>
      <c r="D94" t="s">
        <v>190</v>
      </c>
      <c r="E94" t="s">
        <v>113</v>
      </c>
      <c r="F94" t="s">
        <v>91</v>
      </c>
      <c r="G94">
        <v>7</v>
      </c>
      <c r="K94" s="9" t="s">
        <v>189</v>
      </c>
    </row>
    <row r="95" spans="1:11" x14ac:dyDescent="0.55000000000000004">
      <c r="A95">
        <v>94</v>
      </c>
      <c r="B95" t="s">
        <v>103</v>
      </c>
      <c r="E95" t="s">
        <v>94</v>
      </c>
      <c r="F95" t="s">
        <v>96</v>
      </c>
      <c r="G95">
        <v>3</v>
      </c>
      <c r="K95" s="9" t="s">
        <v>244</v>
      </c>
    </row>
    <row r="96" spans="1:11" x14ac:dyDescent="0.55000000000000004">
      <c r="A96">
        <v>95</v>
      </c>
      <c r="B96" t="s">
        <v>103</v>
      </c>
      <c r="E96" t="s">
        <v>94</v>
      </c>
      <c r="F96" t="s">
        <v>96</v>
      </c>
      <c r="G96">
        <v>4</v>
      </c>
      <c r="H96" t="s">
        <v>85</v>
      </c>
      <c r="I96" t="s">
        <v>85</v>
      </c>
      <c r="J96" t="s">
        <v>85</v>
      </c>
      <c r="K96" s="9" t="s">
        <v>102</v>
      </c>
    </row>
    <row r="97" spans="1:11" x14ac:dyDescent="0.55000000000000004">
      <c r="A97">
        <v>96</v>
      </c>
      <c r="B97" t="s">
        <v>103</v>
      </c>
      <c r="E97" t="s">
        <v>94</v>
      </c>
      <c r="F97" t="s">
        <v>91</v>
      </c>
      <c r="G97">
        <v>3</v>
      </c>
      <c r="K97" s="9" t="s">
        <v>220</v>
      </c>
    </row>
    <row r="98" spans="1:11" x14ac:dyDescent="0.55000000000000004">
      <c r="A98">
        <v>97</v>
      </c>
      <c r="B98" t="s">
        <v>103</v>
      </c>
      <c r="E98" t="s">
        <v>94</v>
      </c>
      <c r="F98" t="s">
        <v>96</v>
      </c>
      <c r="G98">
        <v>3</v>
      </c>
      <c r="H98" t="s">
        <v>85</v>
      </c>
      <c r="I98" t="s">
        <v>85</v>
      </c>
      <c r="J98" t="s">
        <v>85</v>
      </c>
      <c r="K98" s="9" t="s">
        <v>172</v>
      </c>
    </row>
    <row r="99" spans="1:11" ht="36" x14ac:dyDescent="0.55000000000000004">
      <c r="A99">
        <v>98</v>
      </c>
      <c r="B99" t="s">
        <v>103</v>
      </c>
      <c r="E99" t="s">
        <v>94</v>
      </c>
      <c r="F99" t="s">
        <v>96</v>
      </c>
      <c r="G99">
        <v>2</v>
      </c>
      <c r="H99" t="s">
        <v>85</v>
      </c>
      <c r="I99" t="s">
        <v>85</v>
      </c>
      <c r="J99" t="s">
        <v>85</v>
      </c>
      <c r="K99" s="9" t="s">
        <v>431</v>
      </c>
    </row>
    <row r="100" spans="1:11" ht="36" x14ac:dyDescent="0.55000000000000004">
      <c r="A100">
        <v>99</v>
      </c>
      <c r="B100" t="s">
        <v>103</v>
      </c>
      <c r="E100" t="s">
        <v>94</v>
      </c>
      <c r="F100" t="s">
        <v>91</v>
      </c>
      <c r="G100">
        <v>2</v>
      </c>
      <c r="K100" s="9" t="s">
        <v>218</v>
      </c>
    </row>
    <row r="101" spans="1:11" ht="36" x14ac:dyDescent="0.55000000000000004">
      <c r="A101">
        <v>100</v>
      </c>
      <c r="B101" t="s">
        <v>103</v>
      </c>
      <c r="C101" t="s">
        <v>234</v>
      </c>
      <c r="D101" t="s">
        <v>232</v>
      </c>
      <c r="E101" t="s">
        <v>207</v>
      </c>
      <c r="F101" t="s">
        <v>100</v>
      </c>
      <c r="G101">
        <v>5</v>
      </c>
      <c r="H101">
        <v>30</v>
      </c>
      <c r="K101" s="9" t="s">
        <v>245</v>
      </c>
    </row>
    <row r="102" spans="1:11" ht="54" x14ac:dyDescent="0.55000000000000004">
      <c r="A102">
        <v>101</v>
      </c>
      <c r="B102" t="s">
        <v>103</v>
      </c>
      <c r="C102" t="s">
        <v>234</v>
      </c>
      <c r="D102" t="s">
        <v>233</v>
      </c>
      <c r="E102" t="s">
        <v>207</v>
      </c>
      <c r="F102" t="s">
        <v>100</v>
      </c>
      <c r="G102">
        <v>4</v>
      </c>
      <c r="H102">
        <v>30</v>
      </c>
      <c r="K102" s="9" t="s">
        <v>432</v>
      </c>
    </row>
    <row r="103" spans="1:11" ht="36" x14ac:dyDescent="0.55000000000000004">
      <c r="A103">
        <v>102</v>
      </c>
      <c r="B103" t="s">
        <v>5</v>
      </c>
      <c r="D103" t="s">
        <v>101</v>
      </c>
      <c r="E103" t="s">
        <v>94</v>
      </c>
      <c r="F103" t="s">
        <v>100</v>
      </c>
      <c r="G103">
        <v>5</v>
      </c>
      <c r="H103">
        <v>42</v>
      </c>
      <c r="I103" t="s">
        <v>85</v>
      </c>
      <c r="J103" t="s">
        <v>85</v>
      </c>
      <c r="K103" s="9" t="s">
        <v>99</v>
      </c>
    </row>
    <row r="104" spans="1:11" x14ac:dyDescent="0.55000000000000004">
      <c r="A104">
        <v>103</v>
      </c>
      <c r="B104" t="s">
        <v>89</v>
      </c>
      <c r="D104" t="s">
        <v>148</v>
      </c>
      <c r="E104" t="s">
        <v>87</v>
      </c>
      <c r="F104" t="s">
        <v>104</v>
      </c>
      <c r="G104">
        <v>6</v>
      </c>
      <c r="H104">
        <v>36</v>
      </c>
      <c r="I104">
        <v>15</v>
      </c>
      <c r="J104">
        <v>17</v>
      </c>
    </row>
    <row r="105" spans="1:11" x14ac:dyDescent="0.55000000000000004">
      <c r="A105">
        <v>104</v>
      </c>
      <c r="B105" t="s">
        <v>89</v>
      </c>
      <c r="D105" t="s">
        <v>149</v>
      </c>
      <c r="E105" t="s">
        <v>87</v>
      </c>
      <c r="F105" t="s">
        <v>104</v>
      </c>
      <c r="G105">
        <v>4</v>
      </c>
      <c r="H105">
        <v>28</v>
      </c>
      <c r="I105">
        <v>11</v>
      </c>
      <c r="J105">
        <v>14</v>
      </c>
    </row>
    <row r="106" spans="1:11" x14ac:dyDescent="0.55000000000000004">
      <c r="A106">
        <v>105</v>
      </c>
      <c r="B106" t="s">
        <v>89</v>
      </c>
      <c r="D106" t="s">
        <v>150</v>
      </c>
      <c r="E106" t="s">
        <v>87</v>
      </c>
      <c r="F106" t="s">
        <v>104</v>
      </c>
      <c r="G106">
        <v>2</v>
      </c>
      <c r="H106">
        <v>20</v>
      </c>
      <c r="I106">
        <v>8</v>
      </c>
      <c r="J106">
        <v>8</v>
      </c>
    </row>
    <row r="107" spans="1:11" ht="54" x14ac:dyDescent="0.55000000000000004">
      <c r="A107">
        <v>106</v>
      </c>
      <c r="B107" t="s">
        <v>89</v>
      </c>
      <c r="D107" t="s">
        <v>175</v>
      </c>
      <c r="E107" t="s">
        <v>94</v>
      </c>
      <c r="F107" t="s">
        <v>91</v>
      </c>
      <c r="G107">
        <v>3</v>
      </c>
      <c r="K107" s="9" t="s">
        <v>176</v>
      </c>
    </row>
    <row r="108" spans="1:11" ht="54" x14ac:dyDescent="0.55000000000000004">
      <c r="A108">
        <v>107</v>
      </c>
      <c r="B108" t="s">
        <v>89</v>
      </c>
      <c r="D108" t="s">
        <v>95</v>
      </c>
      <c r="E108" t="s">
        <v>94</v>
      </c>
      <c r="F108" t="s">
        <v>91</v>
      </c>
      <c r="G108">
        <v>2</v>
      </c>
      <c r="H108" t="s">
        <v>85</v>
      </c>
      <c r="I108" t="s">
        <v>85</v>
      </c>
      <c r="J108" t="s">
        <v>85</v>
      </c>
      <c r="K108" s="9" t="s">
        <v>93</v>
      </c>
    </row>
    <row r="109" spans="1:11" x14ac:dyDescent="0.55000000000000004">
      <c r="A109">
        <v>108</v>
      </c>
      <c r="B109" t="s">
        <v>98</v>
      </c>
      <c r="D109" t="s">
        <v>97</v>
      </c>
      <c r="E109" t="s">
        <v>87</v>
      </c>
      <c r="F109" t="s">
        <v>96</v>
      </c>
      <c r="G109">
        <v>3</v>
      </c>
      <c r="H109" t="s">
        <v>85</v>
      </c>
      <c r="I109" t="s">
        <v>85</v>
      </c>
      <c r="J109" t="s">
        <v>85</v>
      </c>
      <c r="K109" s="9" t="s">
        <v>209</v>
      </c>
    </row>
    <row r="110" spans="1:11" ht="36" x14ac:dyDescent="0.55000000000000004">
      <c r="A110">
        <v>109</v>
      </c>
      <c r="B110" t="s">
        <v>89</v>
      </c>
      <c r="D110" t="s">
        <v>92</v>
      </c>
      <c r="E110" t="s">
        <v>87</v>
      </c>
      <c r="F110" t="s">
        <v>91</v>
      </c>
      <c r="G110">
        <v>4</v>
      </c>
      <c r="H110" t="s">
        <v>85</v>
      </c>
      <c r="I110" t="s">
        <v>85</v>
      </c>
      <c r="J110" t="s">
        <v>85</v>
      </c>
      <c r="K110" s="9" t="s">
        <v>90</v>
      </c>
    </row>
    <row r="111" spans="1:11" x14ac:dyDescent="0.55000000000000004">
      <c r="A111">
        <v>110</v>
      </c>
      <c r="B111" t="s">
        <v>89</v>
      </c>
      <c r="D111" t="s">
        <v>88</v>
      </c>
      <c r="E111" t="s">
        <v>87</v>
      </c>
      <c r="F111" t="s">
        <v>86</v>
      </c>
      <c r="G111">
        <v>4</v>
      </c>
      <c r="H111">
        <v>31</v>
      </c>
      <c r="I111" t="s">
        <v>85</v>
      </c>
      <c r="J111" t="s">
        <v>85</v>
      </c>
      <c r="K111" s="9" t="s">
        <v>307</v>
      </c>
    </row>
    <row r="112" spans="1:11" x14ac:dyDescent="0.55000000000000004">
      <c r="A112">
        <v>111</v>
      </c>
      <c r="B112" t="s">
        <v>124</v>
      </c>
      <c r="D112" t="s">
        <v>204</v>
      </c>
      <c r="E112" t="s">
        <v>94</v>
      </c>
      <c r="F112" t="s">
        <v>118</v>
      </c>
      <c r="G112">
        <v>6</v>
      </c>
      <c r="H112">
        <v>30</v>
      </c>
      <c r="I112">
        <v>15</v>
      </c>
      <c r="J112">
        <v>20</v>
      </c>
      <c r="K112" s="9" t="s">
        <v>203</v>
      </c>
    </row>
    <row r="113" spans="1:11" ht="36" x14ac:dyDescent="0.55000000000000004">
      <c r="A113">
        <v>112</v>
      </c>
      <c r="B113" t="s">
        <v>103</v>
      </c>
      <c r="E113" t="s">
        <v>238</v>
      </c>
      <c r="F113" t="s">
        <v>96</v>
      </c>
      <c r="G113">
        <v>4</v>
      </c>
      <c r="K113" s="9" t="s">
        <v>243</v>
      </c>
    </row>
    <row r="114" spans="1:11" ht="54" x14ac:dyDescent="0.55000000000000004">
      <c r="A114">
        <v>113</v>
      </c>
      <c r="B114" t="s">
        <v>103</v>
      </c>
      <c r="D114" t="s">
        <v>237</v>
      </c>
      <c r="E114" t="s">
        <v>113</v>
      </c>
      <c r="F114" t="s">
        <v>96</v>
      </c>
      <c r="G114">
        <v>3</v>
      </c>
      <c r="K114" s="9" t="s">
        <v>437</v>
      </c>
    </row>
    <row r="115" spans="1:11" ht="36" x14ac:dyDescent="0.55000000000000004">
      <c r="A115">
        <v>114</v>
      </c>
      <c r="B115" t="s">
        <v>89</v>
      </c>
      <c r="E115" t="s">
        <v>113</v>
      </c>
      <c r="F115" t="s">
        <v>91</v>
      </c>
      <c r="G115">
        <v>2</v>
      </c>
      <c r="K115" s="9" t="s">
        <v>262</v>
      </c>
    </row>
    <row r="116" spans="1:11" ht="72" x14ac:dyDescent="0.55000000000000004">
      <c r="A116">
        <v>115</v>
      </c>
      <c r="B116" t="s">
        <v>146</v>
      </c>
      <c r="D116" t="s">
        <v>334</v>
      </c>
      <c r="E116" t="s">
        <v>335</v>
      </c>
      <c r="F116" t="s">
        <v>104</v>
      </c>
      <c r="G116">
        <v>3</v>
      </c>
      <c r="H116">
        <v>12</v>
      </c>
      <c r="I116">
        <v>10</v>
      </c>
      <c r="J116">
        <v>12</v>
      </c>
      <c r="K116" s="9" t="s">
        <v>336</v>
      </c>
    </row>
    <row r="117" spans="1:11" ht="36" x14ac:dyDescent="0.55000000000000004">
      <c r="A117">
        <v>116</v>
      </c>
      <c r="B117" t="s">
        <v>146</v>
      </c>
      <c r="D117" t="s">
        <v>274</v>
      </c>
      <c r="E117" t="s">
        <v>230</v>
      </c>
      <c r="F117" t="s">
        <v>104</v>
      </c>
      <c r="G117">
        <v>5</v>
      </c>
      <c r="H117">
        <v>30</v>
      </c>
      <c r="I117">
        <v>30</v>
      </c>
      <c r="J117">
        <v>7</v>
      </c>
      <c r="K117" s="9" t="s">
        <v>275</v>
      </c>
    </row>
    <row r="118" spans="1:11" ht="36" x14ac:dyDescent="0.55000000000000004">
      <c r="A118">
        <v>117</v>
      </c>
      <c r="B118" t="s">
        <v>146</v>
      </c>
      <c r="D118" t="s">
        <v>316</v>
      </c>
      <c r="E118" t="s">
        <v>317</v>
      </c>
      <c r="F118" t="s">
        <v>96</v>
      </c>
      <c r="G118">
        <v>2</v>
      </c>
      <c r="K118" s="9" t="s">
        <v>318</v>
      </c>
    </row>
    <row r="119" spans="1:11" ht="36" x14ac:dyDescent="0.55000000000000004">
      <c r="A119">
        <v>118</v>
      </c>
      <c r="B119" t="s">
        <v>36</v>
      </c>
      <c r="D119" t="s">
        <v>339</v>
      </c>
      <c r="E119" t="s">
        <v>326</v>
      </c>
      <c r="F119" t="s">
        <v>104</v>
      </c>
      <c r="G119">
        <v>6</v>
      </c>
      <c r="H119">
        <v>14</v>
      </c>
      <c r="I119">
        <v>4</v>
      </c>
      <c r="J119">
        <v>0</v>
      </c>
      <c r="K119" s="9" t="s">
        <v>340</v>
      </c>
    </row>
    <row r="120" spans="1:11" x14ac:dyDescent="0.55000000000000004">
      <c r="A120">
        <v>119</v>
      </c>
      <c r="B120" t="s">
        <v>135</v>
      </c>
      <c r="C120" t="s">
        <v>398</v>
      </c>
      <c r="D120" t="s">
        <v>337</v>
      </c>
      <c r="E120" t="s">
        <v>332</v>
      </c>
      <c r="F120" t="s">
        <v>104</v>
      </c>
      <c r="G120">
        <v>3</v>
      </c>
      <c r="H120">
        <v>12</v>
      </c>
      <c r="I120">
        <v>4</v>
      </c>
      <c r="J120">
        <v>2</v>
      </c>
      <c r="K120" s="9" t="s">
        <v>338</v>
      </c>
    </row>
    <row r="121" spans="1:11" x14ac:dyDescent="0.55000000000000004">
      <c r="A121">
        <v>120</v>
      </c>
      <c r="B121" t="s">
        <v>135</v>
      </c>
      <c r="D121" t="s">
        <v>272</v>
      </c>
      <c r="E121" t="s">
        <v>113</v>
      </c>
      <c r="F121" t="s">
        <v>91</v>
      </c>
      <c r="G121">
        <v>5</v>
      </c>
      <c r="K121" s="9" t="s">
        <v>273</v>
      </c>
    </row>
    <row r="122" spans="1:11" x14ac:dyDescent="0.55000000000000004">
      <c r="A122">
        <v>121</v>
      </c>
      <c r="B122" t="s">
        <v>135</v>
      </c>
      <c r="D122" t="s">
        <v>331</v>
      </c>
      <c r="E122" t="s">
        <v>332</v>
      </c>
      <c r="F122" t="s">
        <v>96</v>
      </c>
      <c r="G122">
        <v>3</v>
      </c>
      <c r="K122" s="9" t="s">
        <v>333</v>
      </c>
    </row>
    <row r="123" spans="1:11" x14ac:dyDescent="0.55000000000000004">
      <c r="A123">
        <v>122</v>
      </c>
      <c r="B123" t="s">
        <v>124</v>
      </c>
      <c r="F123" t="s">
        <v>118</v>
      </c>
      <c r="G123">
        <v>4</v>
      </c>
      <c r="K123" s="9">
        <v>1</v>
      </c>
    </row>
    <row r="124" spans="1:11" ht="54" x14ac:dyDescent="0.55000000000000004">
      <c r="A124">
        <v>123</v>
      </c>
      <c r="B124" t="s">
        <v>124</v>
      </c>
      <c r="D124" t="s">
        <v>341</v>
      </c>
      <c r="E124" t="s">
        <v>326</v>
      </c>
      <c r="F124" t="s">
        <v>100</v>
      </c>
      <c r="G124">
        <v>8</v>
      </c>
      <c r="H124" t="s">
        <v>342</v>
      </c>
      <c r="K124" s="9" t="s">
        <v>451</v>
      </c>
    </row>
    <row r="125" spans="1:11" ht="126" x14ac:dyDescent="0.55000000000000004">
      <c r="A125">
        <v>124</v>
      </c>
      <c r="B125" t="s">
        <v>112</v>
      </c>
      <c r="C125" t="s">
        <v>269</v>
      </c>
      <c r="D125" t="s">
        <v>321</v>
      </c>
      <c r="E125" t="s">
        <v>108</v>
      </c>
      <c r="F125" t="s">
        <v>118</v>
      </c>
      <c r="G125">
        <v>12</v>
      </c>
      <c r="H125">
        <v>30</v>
      </c>
      <c r="I125">
        <v>0</v>
      </c>
      <c r="J125">
        <v>0</v>
      </c>
      <c r="K125" s="9" t="s">
        <v>324</v>
      </c>
    </row>
    <row r="126" spans="1:11" ht="54" x14ac:dyDescent="0.55000000000000004">
      <c r="A126">
        <v>125</v>
      </c>
      <c r="B126" t="s">
        <v>112</v>
      </c>
      <c r="E126" t="s">
        <v>94</v>
      </c>
      <c r="F126" t="s">
        <v>118</v>
      </c>
      <c r="G126">
        <v>2</v>
      </c>
      <c r="H126">
        <v>10</v>
      </c>
      <c r="I126">
        <v>0</v>
      </c>
      <c r="J126">
        <v>9</v>
      </c>
      <c r="K126" s="9" t="s">
        <v>285</v>
      </c>
    </row>
    <row r="127" spans="1:11" ht="36" x14ac:dyDescent="0.55000000000000004">
      <c r="A127">
        <v>126</v>
      </c>
      <c r="B127" t="s">
        <v>112</v>
      </c>
      <c r="D127" t="s">
        <v>312</v>
      </c>
      <c r="E127" t="s">
        <v>94</v>
      </c>
      <c r="F127" t="s">
        <v>118</v>
      </c>
      <c r="G127">
        <v>3</v>
      </c>
      <c r="H127">
        <v>20</v>
      </c>
      <c r="I127">
        <v>5</v>
      </c>
      <c r="J127">
        <v>15</v>
      </c>
      <c r="K127" s="9" t="s">
        <v>311</v>
      </c>
    </row>
    <row r="128" spans="1:11" ht="36" x14ac:dyDescent="0.55000000000000004">
      <c r="A128">
        <v>127</v>
      </c>
      <c r="B128" t="s">
        <v>112</v>
      </c>
      <c r="D128" t="s">
        <v>343</v>
      </c>
      <c r="E128" t="s">
        <v>332</v>
      </c>
      <c r="F128" t="s">
        <v>344</v>
      </c>
      <c r="G128">
        <v>4</v>
      </c>
      <c r="H128">
        <v>15</v>
      </c>
      <c r="I128">
        <v>6</v>
      </c>
      <c r="J128">
        <v>3</v>
      </c>
      <c r="K128" s="9" t="s">
        <v>345</v>
      </c>
    </row>
    <row r="129" spans="1:11" ht="36" x14ac:dyDescent="0.55000000000000004">
      <c r="A129">
        <v>128</v>
      </c>
      <c r="B129" t="s">
        <v>112</v>
      </c>
      <c r="C129" t="s">
        <v>269</v>
      </c>
      <c r="D129" t="s">
        <v>310</v>
      </c>
      <c r="E129" t="s">
        <v>105</v>
      </c>
      <c r="F129" t="s">
        <v>118</v>
      </c>
      <c r="G129">
        <v>4</v>
      </c>
      <c r="H129">
        <v>20</v>
      </c>
      <c r="I129">
        <v>20</v>
      </c>
      <c r="J129">
        <v>0</v>
      </c>
      <c r="K129" s="9" t="s">
        <v>450</v>
      </c>
    </row>
    <row r="130" spans="1:11" x14ac:dyDescent="0.55000000000000004">
      <c r="A130">
        <v>129</v>
      </c>
      <c r="B130" t="s">
        <v>112</v>
      </c>
      <c r="C130" t="s">
        <v>269</v>
      </c>
      <c r="D130" t="s">
        <v>314</v>
      </c>
      <c r="E130" t="s">
        <v>105</v>
      </c>
      <c r="F130" t="s">
        <v>118</v>
      </c>
      <c r="G130">
        <v>6</v>
      </c>
      <c r="H130">
        <v>45</v>
      </c>
      <c r="I130">
        <v>15</v>
      </c>
      <c r="J130">
        <v>0</v>
      </c>
      <c r="K130" s="9" t="s">
        <v>313</v>
      </c>
    </row>
    <row r="131" spans="1:11" ht="72" x14ac:dyDescent="0.55000000000000004">
      <c r="A131">
        <v>130</v>
      </c>
      <c r="B131" t="s">
        <v>112</v>
      </c>
      <c r="C131" t="s">
        <v>269</v>
      </c>
      <c r="D131" t="s">
        <v>319</v>
      </c>
      <c r="E131" t="s">
        <v>105</v>
      </c>
      <c r="F131" t="s">
        <v>118</v>
      </c>
      <c r="G131">
        <v>8</v>
      </c>
      <c r="H131">
        <v>40</v>
      </c>
      <c r="I131">
        <v>5</v>
      </c>
      <c r="J131">
        <v>0</v>
      </c>
      <c r="K131" s="9" t="s">
        <v>449</v>
      </c>
    </row>
    <row r="132" spans="1:11" ht="54" x14ac:dyDescent="0.55000000000000004">
      <c r="A132">
        <v>131</v>
      </c>
      <c r="B132" t="s">
        <v>112</v>
      </c>
      <c r="C132" t="s">
        <v>269</v>
      </c>
      <c r="E132" t="s">
        <v>94</v>
      </c>
      <c r="F132" t="s">
        <v>91</v>
      </c>
      <c r="G132">
        <v>5</v>
      </c>
      <c r="K132" s="9" t="s">
        <v>322</v>
      </c>
    </row>
    <row r="133" spans="1:11" ht="36" x14ac:dyDescent="0.55000000000000004">
      <c r="A133">
        <v>132</v>
      </c>
      <c r="B133" t="s">
        <v>112</v>
      </c>
      <c r="D133" t="s">
        <v>346</v>
      </c>
      <c r="E133" t="s">
        <v>332</v>
      </c>
      <c r="F133" t="s">
        <v>327</v>
      </c>
      <c r="G133">
        <v>6</v>
      </c>
      <c r="K133" s="9" t="s">
        <v>347</v>
      </c>
    </row>
    <row r="134" spans="1:11" ht="54" x14ac:dyDescent="0.55000000000000004">
      <c r="A134">
        <v>133</v>
      </c>
      <c r="B134" t="s">
        <v>112</v>
      </c>
      <c r="E134" t="s">
        <v>113</v>
      </c>
      <c r="F134" t="s">
        <v>86</v>
      </c>
      <c r="G134">
        <v>3</v>
      </c>
      <c r="H134">
        <v>20</v>
      </c>
      <c r="K134" s="9" t="s">
        <v>315</v>
      </c>
    </row>
    <row r="135" spans="1:11" x14ac:dyDescent="0.55000000000000004">
      <c r="A135">
        <v>134</v>
      </c>
      <c r="B135" t="s">
        <v>107</v>
      </c>
      <c r="D135" t="s">
        <v>348</v>
      </c>
      <c r="E135" t="s">
        <v>332</v>
      </c>
      <c r="F135" t="s">
        <v>327</v>
      </c>
      <c r="G135">
        <v>4</v>
      </c>
      <c r="K135" s="9" t="s">
        <v>349</v>
      </c>
    </row>
    <row r="136" spans="1:11" ht="54" x14ac:dyDescent="0.55000000000000004">
      <c r="A136">
        <v>135</v>
      </c>
      <c r="B136" t="s">
        <v>103</v>
      </c>
      <c r="C136" t="s">
        <v>234</v>
      </c>
      <c r="D136" t="s">
        <v>282</v>
      </c>
      <c r="E136" t="s">
        <v>238</v>
      </c>
      <c r="F136" t="s">
        <v>104</v>
      </c>
      <c r="G136">
        <v>6</v>
      </c>
      <c r="H136">
        <v>22</v>
      </c>
      <c r="I136">
        <v>12</v>
      </c>
      <c r="J136">
        <v>2</v>
      </c>
      <c r="K136" s="9" t="s">
        <v>374</v>
      </c>
    </row>
    <row r="137" spans="1:11" ht="72" x14ac:dyDescent="0.55000000000000004">
      <c r="A137">
        <v>136</v>
      </c>
      <c r="B137" t="s">
        <v>103</v>
      </c>
      <c r="D137" t="s">
        <v>284</v>
      </c>
      <c r="E137" t="s">
        <v>207</v>
      </c>
      <c r="F137" t="s">
        <v>96</v>
      </c>
      <c r="G137">
        <v>4</v>
      </c>
      <c r="K137" s="9" t="s">
        <v>453</v>
      </c>
    </row>
    <row r="138" spans="1:11" ht="36" x14ac:dyDescent="0.55000000000000004">
      <c r="A138">
        <v>137</v>
      </c>
      <c r="B138" t="s">
        <v>350</v>
      </c>
      <c r="D138" t="s">
        <v>352</v>
      </c>
      <c r="E138" t="s">
        <v>332</v>
      </c>
      <c r="F138" t="s">
        <v>327</v>
      </c>
      <c r="G138">
        <v>3</v>
      </c>
      <c r="K138" s="9" t="s">
        <v>354</v>
      </c>
    </row>
    <row r="139" spans="1:11" x14ac:dyDescent="0.55000000000000004">
      <c r="A139">
        <v>138</v>
      </c>
      <c r="B139" t="s">
        <v>103</v>
      </c>
      <c r="D139" t="s">
        <v>351</v>
      </c>
      <c r="E139" t="s">
        <v>87</v>
      </c>
      <c r="F139" t="s">
        <v>327</v>
      </c>
      <c r="G139">
        <v>6</v>
      </c>
      <c r="K139" s="9" t="s">
        <v>353</v>
      </c>
    </row>
    <row r="140" spans="1:11" x14ac:dyDescent="0.55000000000000004">
      <c r="A140">
        <v>139</v>
      </c>
      <c r="B140" t="s">
        <v>5</v>
      </c>
      <c r="D140" t="s">
        <v>357</v>
      </c>
      <c r="E140" t="s">
        <v>326</v>
      </c>
      <c r="F140" t="s">
        <v>327</v>
      </c>
      <c r="K140" s="9" t="s">
        <v>358</v>
      </c>
    </row>
    <row r="141" spans="1:11" ht="36" x14ac:dyDescent="0.55000000000000004">
      <c r="A141">
        <v>140</v>
      </c>
      <c r="B141" t="s">
        <v>103</v>
      </c>
      <c r="C141" t="s">
        <v>234</v>
      </c>
      <c r="D141" t="s">
        <v>271</v>
      </c>
      <c r="E141" t="s">
        <v>105</v>
      </c>
      <c r="F141" t="s">
        <v>91</v>
      </c>
      <c r="G141">
        <v>1</v>
      </c>
      <c r="K141" s="9" t="s">
        <v>283</v>
      </c>
    </row>
    <row r="142" spans="1:11" ht="36" x14ac:dyDescent="0.55000000000000004">
      <c r="A142">
        <v>141</v>
      </c>
      <c r="B142" t="s">
        <v>103</v>
      </c>
      <c r="D142" t="s">
        <v>355</v>
      </c>
      <c r="E142" t="s">
        <v>332</v>
      </c>
      <c r="F142" t="s">
        <v>100</v>
      </c>
      <c r="G142">
        <v>6</v>
      </c>
      <c r="H142">
        <v>45</v>
      </c>
      <c r="K142" s="9" t="s">
        <v>356</v>
      </c>
    </row>
    <row r="143" spans="1:11" ht="54" x14ac:dyDescent="0.55000000000000004">
      <c r="A143">
        <v>142</v>
      </c>
      <c r="B143" t="s">
        <v>89</v>
      </c>
      <c r="D143" t="s">
        <v>270</v>
      </c>
      <c r="E143" t="s">
        <v>108</v>
      </c>
      <c r="F143" t="s">
        <v>118</v>
      </c>
      <c r="G143">
        <v>10</v>
      </c>
      <c r="H143">
        <v>40</v>
      </c>
      <c r="I143">
        <v>20</v>
      </c>
      <c r="J143">
        <v>20</v>
      </c>
      <c r="K143" s="9" t="s">
        <v>276</v>
      </c>
    </row>
    <row r="144" spans="1:11" x14ac:dyDescent="0.55000000000000004">
      <c r="A144">
        <v>143</v>
      </c>
      <c r="B144" t="s">
        <v>89</v>
      </c>
      <c r="D144" t="s">
        <v>280</v>
      </c>
      <c r="E144" t="s">
        <v>105</v>
      </c>
      <c r="F144" t="s">
        <v>104</v>
      </c>
      <c r="G144">
        <v>1</v>
      </c>
      <c r="H144">
        <v>1</v>
      </c>
      <c r="I144">
        <v>0</v>
      </c>
      <c r="J144">
        <v>0</v>
      </c>
      <c r="K144" s="9" t="s">
        <v>281</v>
      </c>
    </row>
    <row r="145" spans="1:11" x14ac:dyDescent="0.55000000000000004">
      <c r="A145">
        <v>144</v>
      </c>
      <c r="B145" t="s">
        <v>89</v>
      </c>
      <c r="D145" t="s">
        <v>325</v>
      </c>
      <c r="E145" t="s">
        <v>326</v>
      </c>
      <c r="F145" t="s">
        <v>327</v>
      </c>
      <c r="G145">
        <v>6</v>
      </c>
      <c r="K145" s="9" t="s">
        <v>328</v>
      </c>
    </row>
    <row r="146" spans="1:11" ht="72" x14ac:dyDescent="0.55000000000000004">
      <c r="A146">
        <v>145</v>
      </c>
      <c r="B146" t="s">
        <v>89</v>
      </c>
      <c r="D146" t="s">
        <v>277</v>
      </c>
      <c r="E146" t="s">
        <v>238</v>
      </c>
      <c r="F146" t="s">
        <v>100</v>
      </c>
      <c r="G146">
        <v>10</v>
      </c>
      <c r="H146" t="s">
        <v>278</v>
      </c>
      <c r="K146" s="9" t="s">
        <v>279</v>
      </c>
    </row>
    <row r="147" spans="1:11" ht="54" x14ac:dyDescent="0.55000000000000004">
      <c r="A147">
        <v>146</v>
      </c>
      <c r="B147" t="s">
        <v>146</v>
      </c>
      <c r="D147" t="s">
        <v>423</v>
      </c>
      <c r="E147" t="s">
        <v>408</v>
      </c>
      <c r="F147" t="s">
        <v>391</v>
      </c>
      <c r="G147">
        <v>9</v>
      </c>
      <c r="H147" t="s">
        <v>424</v>
      </c>
      <c r="I147" t="s">
        <v>425</v>
      </c>
      <c r="J147" t="s">
        <v>426</v>
      </c>
      <c r="K147" s="9" t="s">
        <v>427</v>
      </c>
    </row>
    <row r="148" spans="1:11" ht="72" x14ac:dyDescent="0.55000000000000004">
      <c r="A148">
        <v>147</v>
      </c>
      <c r="B148" t="s">
        <v>146</v>
      </c>
      <c r="D148" t="s">
        <v>421</v>
      </c>
      <c r="E148" t="s">
        <v>411</v>
      </c>
      <c r="F148" t="s">
        <v>96</v>
      </c>
      <c r="G148">
        <v>3</v>
      </c>
      <c r="K148" s="9" t="s">
        <v>422</v>
      </c>
    </row>
    <row r="149" spans="1:11" ht="36" x14ac:dyDescent="0.55000000000000004">
      <c r="A149">
        <v>148</v>
      </c>
      <c r="B149" t="s">
        <v>146</v>
      </c>
      <c r="D149" t="s">
        <v>387</v>
      </c>
      <c r="E149" t="s">
        <v>207</v>
      </c>
      <c r="F149" t="s">
        <v>96</v>
      </c>
      <c r="G149">
        <v>4</v>
      </c>
      <c r="K149" s="9" t="s">
        <v>388</v>
      </c>
    </row>
    <row r="150" spans="1:11" ht="36" x14ac:dyDescent="0.55000000000000004">
      <c r="A150">
        <v>149</v>
      </c>
      <c r="B150" t="s">
        <v>135</v>
      </c>
      <c r="D150" t="s">
        <v>393</v>
      </c>
      <c r="E150" t="s">
        <v>394</v>
      </c>
      <c r="F150" t="s">
        <v>391</v>
      </c>
      <c r="G150">
        <v>2</v>
      </c>
      <c r="H150">
        <v>9</v>
      </c>
      <c r="I150">
        <v>9</v>
      </c>
      <c r="J150">
        <v>2</v>
      </c>
      <c r="K150" s="9" t="s">
        <v>395</v>
      </c>
    </row>
    <row r="151" spans="1:11" ht="36" x14ac:dyDescent="0.55000000000000004">
      <c r="A151">
        <v>150</v>
      </c>
      <c r="B151" t="s">
        <v>135</v>
      </c>
      <c r="C151" t="s">
        <v>398</v>
      </c>
      <c r="D151" t="s">
        <v>396</v>
      </c>
      <c r="E151" t="s">
        <v>394</v>
      </c>
      <c r="F151" t="s">
        <v>391</v>
      </c>
      <c r="G151">
        <v>4</v>
      </c>
      <c r="H151">
        <v>24</v>
      </c>
      <c r="I151">
        <v>12</v>
      </c>
      <c r="J151">
        <v>12</v>
      </c>
      <c r="K151" s="9" t="s">
        <v>397</v>
      </c>
    </row>
    <row r="152" spans="1:11" ht="54" x14ac:dyDescent="0.55000000000000004">
      <c r="A152">
        <v>151</v>
      </c>
      <c r="B152" t="s">
        <v>135</v>
      </c>
      <c r="D152" t="s">
        <v>407</v>
      </c>
      <c r="E152" t="s">
        <v>408</v>
      </c>
      <c r="F152" t="s">
        <v>391</v>
      </c>
      <c r="G152">
        <v>8</v>
      </c>
      <c r="H152">
        <v>62</v>
      </c>
      <c r="I152">
        <v>24</v>
      </c>
      <c r="J152">
        <v>12</v>
      </c>
      <c r="K152" s="9" t="s">
        <v>409</v>
      </c>
    </row>
    <row r="153" spans="1:11" ht="36" x14ac:dyDescent="0.55000000000000004">
      <c r="A153">
        <v>152</v>
      </c>
      <c r="B153" t="s">
        <v>135</v>
      </c>
      <c r="D153" t="s">
        <v>413</v>
      </c>
      <c r="E153" t="s">
        <v>408</v>
      </c>
      <c r="F153" t="s">
        <v>391</v>
      </c>
      <c r="G153">
        <v>6</v>
      </c>
      <c r="H153">
        <v>40</v>
      </c>
      <c r="I153">
        <v>6</v>
      </c>
      <c r="J153">
        <v>6</v>
      </c>
      <c r="K153" s="9" t="s">
        <v>414</v>
      </c>
    </row>
    <row r="154" spans="1:11" ht="54" x14ac:dyDescent="0.55000000000000004">
      <c r="A154">
        <v>153</v>
      </c>
      <c r="B154" t="s">
        <v>135</v>
      </c>
      <c r="D154" t="s">
        <v>403</v>
      </c>
      <c r="E154" t="s">
        <v>390</v>
      </c>
      <c r="F154" t="s">
        <v>96</v>
      </c>
      <c r="G154">
        <v>4</v>
      </c>
      <c r="K154" s="9" t="s">
        <v>404</v>
      </c>
    </row>
    <row r="155" spans="1:11" x14ac:dyDescent="0.55000000000000004">
      <c r="A155">
        <v>154</v>
      </c>
      <c r="B155" t="s">
        <v>135</v>
      </c>
      <c r="D155" t="s">
        <v>405</v>
      </c>
      <c r="E155" t="s">
        <v>390</v>
      </c>
      <c r="F155" t="s">
        <v>96</v>
      </c>
      <c r="G155">
        <v>8</v>
      </c>
      <c r="K155" s="9" t="s">
        <v>406</v>
      </c>
    </row>
    <row r="156" spans="1:11" ht="36" x14ac:dyDescent="0.55000000000000004">
      <c r="A156">
        <v>155</v>
      </c>
      <c r="B156" t="s">
        <v>135</v>
      </c>
      <c r="D156" t="s">
        <v>399</v>
      </c>
      <c r="E156" t="s">
        <v>394</v>
      </c>
      <c r="F156" t="s">
        <v>96</v>
      </c>
      <c r="G156">
        <v>3</v>
      </c>
      <c r="K156" s="9" t="s">
        <v>400</v>
      </c>
    </row>
    <row r="157" spans="1:11" ht="36" x14ac:dyDescent="0.55000000000000004">
      <c r="A157">
        <v>156</v>
      </c>
      <c r="B157" t="s">
        <v>135</v>
      </c>
      <c r="D157" t="s">
        <v>401</v>
      </c>
      <c r="E157" t="s">
        <v>394</v>
      </c>
      <c r="F157" t="s">
        <v>96</v>
      </c>
      <c r="G157">
        <v>2</v>
      </c>
      <c r="K157" s="9" t="s">
        <v>402</v>
      </c>
    </row>
    <row r="158" spans="1:11" ht="36" x14ac:dyDescent="0.55000000000000004">
      <c r="A158">
        <v>157</v>
      </c>
      <c r="B158" t="s">
        <v>135</v>
      </c>
      <c r="D158" t="s">
        <v>410</v>
      </c>
      <c r="E158" t="s">
        <v>411</v>
      </c>
      <c r="F158" t="s">
        <v>100</v>
      </c>
      <c r="G158">
        <v>6</v>
      </c>
      <c r="H158">
        <v>40</v>
      </c>
      <c r="K158" s="9" t="s">
        <v>412</v>
      </c>
    </row>
    <row r="159" spans="1:11" ht="36" x14ac:dyDescent="0.55000000000000004">
      <c r="A159">
        <v>158</v>
      </c>
      <c r="B159" t="s">
        <v>112</v>
      </c>
      <c r="C159" t="s">
        <v>442</v>
      </c>
      <c r="D159" t="s">
        <v>443</v>
      </c>
      <c r="E159" t="s">
        <v>207</v>
      </c>
      <c r="F159" t="s">
        <v>104</v>
      </c>
      <c r="G159">
        <v>7</v>
      </c>
      <c r="H159">
        <v>44</v>
      </c>
      <c r="I159" t="s">
        <v>225</v>
      </c>
      <c r="J159">
        <v>0</v>
      </c>
      <c r="K159" s="9" t="s">
        <v>386</v>
      </c>
    </row>
    <row r="160" spans="1:11" ht="36" x14ac:dyDescent="0.55000000000000004">
      <c r="A160">
        <v>159</v>
      </c>
      <c r="B160" t="s">
        <v>112</v>
      </c>
      <c r="D160" t="s">
        <v>381</v>
      </c>
      <c r="E160" t="s">
        <v>230</v>
      </c>
      <c r="F160" t="s">
        <v>104</v>
      </c>
      <c r="G160">
        <v>4</v>
      </c>
      <c r="H160">
        <v>22</v>
      </c>
      <c r="I160">
        <v>10</v>
      </c>
      <c r="J160">
        <v>10</v>
      </c>
      <c r="K160" s="9" t="s">
        <v>382</v>
      </c>
    </row>
    <row r="161" spans="1:11" ht="54" x14ac:dyDescent="0.55000000000000004">
      <c r="A161">
        <v>160</v>
      </c>
      <c r="B161" t="s">
        <v>112</v>
      </c>
      <c r="C161" t="s">
        <v>442</v>
      </c>
      <c r="D161" t="s">
        <v>383</v>
      </c>
      <c r="E161" t="s">
        <v>230</v>
      </c>
      <c r="F161" t="s">
        <v>96</v>
      </c>
      <c r="G161">
        <v>1</v>
      </c>
      <c r="K161" s="9" t="s">
        <v>441</v>
      </c>
    </row>
    <row r="162" spans="1:11" ht="36" x14ac:dyDescent="0.55000000000000004">
      <c r="A162">
        <v>161</v>
      </c>
      <c r="B162" t="s">
        <v>107</v>
      </c>
      <c r="D162" t="s">
        <v>415</v>
      </c>
      <c r="E162" t="s">
        <v>390</v>
      </c>
      <c r="F162" t="s">
        <v>416</v>
      </c>
      <c r="G162">
        <v>6</v>
      </c>
      <c r="K162" s="9" t="s">
        <v>417</v>
      </c>
    </row>
    <row r="163" spans="1:11" x14ac:dyDescent="0.55000000000000004">
      <c r="A163">
        <v>162</v>
      </c>
      <c r="B163" t="s">
        <v>103</v>
      </c>
      <c r="E163" t="s">
        <v>394</v>
      </c>
      <c r="F163" t="s">
        <v>391</v>
      </c>
      <c r="G163">
        <v>3</v>
      </c>
      <c r="H163">
        <v>24</v>
      </c>
      <c r="I163">
        <v>12</v>
      </c>
      <c r="J163">
        <v>6</v>
      </c>
      <c r="K163" s="9" t="s">
        <v>418</v>
      </c>
    </row>
    <row r="164" spans="1:11" x14ac:dyDescent="0.55000000000000004">
      <c r="A164">
        <v>163</v>
      </c>
      <c r="B164" t="s">
        <v>103</v>
      </c>
      <c r="D164" t="s">
        <v>419</v>
      </c>
      <c r="E164" t="s">
        <v>394</v>
      </c>
      <c r="F164" t="s">
        <v>416</v>
      </c>
      <c r="G164">
        <v>4</v>
      </c>
      <c r="K164" s="9" t="s">
        <v>420</v>
      </c>
    </row>
    <row r="165" spans="1:11" ht="36" x14ac:dyDescent="0.55000000000000004">
      <c r="A165">
        <v>164</v>
      </c>
      <c r="B165" t="s">
        <v>89</v>
      </c>
      <c r="D165" t="s">
        <v>389</v>
      </c>
      <c r="E165" t="s">
        <v>390</v>
      </c>
      <c r="F165" t="s">
        <v>391</v>
      </c>
      <c r="G165">
        <v>4</v>
      </c>
      <c r="H165">
        <v>20</v>
      </c>
      <c r="I165">
        <v>0</v>
      </c>
      <c r="J165">
        <v>0</v>
      </c>
      <c r="K165" s="9" t="s">
        <v>392</v>
      </c>
    </row>
    <row r="166" spans="1:11" ht="54" x14ac:dyDescent="0.55000000000000004">
      <c r="A166">
        <v>165</v>
      </c>
      <c r="B166" t="s">
        <v>135</v>
      </c>
      <c r="D166" t="s">
        <v>457</v>
      </c>
      <c r="E166" t="s">
        <v>445</v>
      </c>
      <c r="F166" t="s">
        <v>440</v>
      </c>
      <c r="G166">
        <v>7</v>
      </c>
      <c r="H166">
        <v>47</v>
      </c>
      <c r="I166">
        <v>8</v>
      </c>
      <c r="J166">
        <v>6</v>
      </c>
      <c r="K166" s="9" t="s">
        <v>458</v>
      </c>
    </row>
    <row r="167" spans="1:11" x14ac:dyDescent="0.55000000000000004">
      <c r="A167">
        <v>166</v>
      </c>
      <c r="B167" t="s">
        <v>135</v>
      </c>
      <c r="D167" t="s">
        <v>459</v>
      </c>
      <c r="E167" t="s">
        <v>454</v>
      </c>
      <c r="F167" t="s">
        <v>440</v>
      </c>
      <c r="G167">
        <v>5</v>
      </c>
      <c r="H167">
        <v>20</v>
      </c>
      <c r="I167">
        <v>8</v>
      </c>
      <c r="J167">
        <v>12</v>
      </c>
      <c r="K167" s="9" t="s">
        <v>460</v>
      </c>
    </row>
    <row r="168" spans="1:11" ht="36" x14ac:dyDescent="0.55000000000000004">
      <c r="A168">
        <v>167</v>
      </c>
      <c r="B168" t="s">
        <v>444</v>
      </c>
      <c r="D168" t="s">
        <v>461</v>
      </c>
      <c r="E168" t="s">
        <v>445</v>
      </c>
      <c r="F168" t="s">
        <v>446</v>
      </c>
      <c r="G168">
        <v>8</v>
      </c>
      <c r="K168" s="9" t="s">
        <v>452</v>
      </c>
    </row>
    <row r="169" spans="1:11" ht="54" x14ac:dyDescent="0.55000000000000004">
      <c r="A169">
        <v>168</v>
      </c>
      <c r="D169" t="s">
        <v>447</v>
      </c>
      <c r="E169" t="s">
        <v>230</v>
      </c>
      <c r="F169" t="s">
        <v>100</v>
      </c>
      <c r="G169">
        <v>5</v>
      </c>
      <c r="H169">
        <v>44</v>
      </c>
      <c r="K169" s="9" t="s">
        <v>448</v>
      </c>
    </row>
    <row r="170" spans="1:11" ht="54" x14ac:dyDescent="0.55000000000000004">
      <c r="A170">
        <v>169</v>
      </c>
      <c r="B170" t="s">
        <v>107</v>
      </c>
      <c r="D170" t="s">
        <v>456</v>
      </c>
      <c r="E170" t="s">
        <v>454</v>
      </c>
      <c r="F170" t="s">
        <v>440</v>
      </c>
      <c r="G170">
        <v>8</v>
      </c>
      <c r="H170">
        <v>30</v>
      </c>
      <c r="I170">
        <v>15</v>
      </c>
      <c r="J170">
        <v>0</v>
      </c>
      <c r="K170" s="9" t="s">
        <v>455</v>
      </c>
    </row>
    <row r="171" spans="1:11" x14ac:dyDescent="0.55000000000000004">
      <c r="A171">
        <v>170</v>
      </c>
      <c r="B171" t="s">
        <v>103</v>
      </c>
      <c r="D171" t="s">
        <v>438</v>
      </c>
      <c r="E171" t="s">
        <v>439</v>
      </c>
      <c r="F171" t="s">
        <v>440</v>
      </c>
      <c r="G171">
        <v>5</v>
      </c>
      <c r="H171">
        <v>25</v>
      </c>
      <c r="I171">
        <v>5</v>
      </c>
      <c r="J171">
        <v>5</v>
      </c>
    </row>
  </sheetData>
  <sortState xmlns:xlrd2="http://schemas.microsoft.com/office/spreadsheetml/2017/richdata2" sortMethod="stroke" ref="A3:K171">
    <sortCondition ref="B1" customList="人智,野性,古代,空想,構造,細菌,無銘"/>
    <sortCondition ref="F1" customList="アニマ,グレイス,オーナメント"/>
    <sortCondition ref="E1" customList="リミテッド,レア,ノーマル,ベーシック,トークン"/>
  </sortState>
  <phoneticPr fontId="1"/>
  <dataValidations count="3">
    <dataValidation type="list" allowBlank="1" showInputMessage="1" showErrorMessage="1" sqref="E2:E171" xr:uid="{FF445E2C-9DF8-4AB3-8D86-6A36621E5749}">
      <formula1>"リミテッド, レア, ノーマル, ベーシック,トークン"</formula1>
    </dataValidation>
    <dataValidation type="list" allowBlank="1" showInputMessage="1" showErrorMessage="1" sqref="F2:F171" xr:uid="{87639D19-FAF5-401E-8B0A-EE26A54E3CF3}">
      <formula1>"アニマ, グレイス, オーナメント"</formula1>
    </dataValidation>
    <dataValidation type="list" allowBlank="1" showInputMessage="1" showErrorMessage="1" sqref="B2:B171" xr:uid="{4F653871-D9D4-4932-9B81-955E0372E12A}">
      <formula1>"人智, 野性, 古代, 空想, 構造, 細菌, 無銘"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022F0-96D2-495B-B379-7CCE33820A85}">
  <sheetPr codeName="Sheet6"/>
  <dimension ref="B3:D13"/>
  <sheetViews>
    <sheetView workbookViewId="0">
      <selection activeCell="D6" sqref="D6"/>
    </sheetView>
  </sheetViews>
  <sheetFormatPr defaultRowHeight="18" x14ac:dyDescent="0.55000000000000004"/>
  <cols>
    <col min="3" max="3" width="12.6640625" customWidth="1"/>
    <col min="4" max="4" width="53.9140625" customWidth="1"/>
  </cols>
  <sheetData>
    <row r="3" spans="2:4" x14ac:dyDescent="0.55000000000000004">
      <c r="B3" t="s">
        <v>63</v>
      </c>
      <c r="C3" t="s">
        <v>75</v>
      </c>
      <c r="D3" t="s">
        <v>64</v>
      </c>
    </row>
    <row r="4" spans="2:4" x14ac:dyDescent="0.55000000000000004">
      <c r="B4" t="s">
        <v>65</v>
      </c>
      <c r="C4" t="s">
        <v>76</v>
      </c>
      <c r="D4" t="s">
        <v>67</v>
      </c>
    </row>
    <row r="5" spans="2:4" x14ac:dyDescent="0.55000000000000004">
      <c r="B5" t="s">
        <v>66</v>
      </c>
      <c r="C5" t="s">
        <v>76</v>
      </c>
      <c r="D5" t="s">
        <v>72</v>
      </c>
    </row>
    <row r="6" spans="2:4" x14ac:dyDescent="0.55000000000000004">
      <c r="B6" t="s">
        <v>70</v>
      </c>
      <c r="C6" t="s">
        <v>76</v>
      </c>
      <c r="D6" t="s">
        <v>68</v>
      </c>
    </row>
    <row r="7" spans="2:4" x14ac:dyDescent="0.55000000000000004">
      <c r="B7" t="s">
        <v>73</v>
      </c>
      <c r="C7" t="s">
        <v>76</v>
      </c>
      <c r="D7" t="s">
        <v>71</v>
      </c>
    </row>
    <row r="8" spans="2:4" x14ac:dyDescent="0.55000000000000004">
      <c r="B8" t="s">
        <v>69</v>
      </c>
      <c r="C8" t="s">
        <v>76</v>
      </c>
      <c r="D8" t="s">
        <v>74</v>
      </c>
    </row>
    <row r="10" spans="2:4" x14ac:dyDescent="0.55000000000000004">
      <c r="B10" t="s">
        <v>83</v>
      </c>
      <c r="C10" t="s">
        <v>76</v>
      </c>
      <c r="D10" t="s">
        <v>84</v>
      </c>
    </row>
    <row r="11" spans="2:4" x14ac:dyDescent="0.55000000000000004">
      <c r="B11" t="s">
        <v>264</v>
      </c>
      <c r="C11" t="s">
        <v>81</v>
      </c>
      <c r="D11" t="s">
        <v>78</v>
      </c>
    </row>
    <row r="12" spans="2:4" x14ac:dyDescent="0.55000000000000004">
      <c r="B12" t="s">
        <v>79</v>
      </c>
      <c r="C12" t="s">
        <v>81</v>
      </c>
      <c r="D12" t="s">
        <v>80</v>
      </c>
    </row>
    <row r="13" spans="2:4" x14ac:dyDescent="0.55000000000000004">
      <c r="B13" t="s">
        <v>82</v>
      </c>
      <c r="C13" t="s">
        <v>81</v>
      </c>
      <c r="D13" t="s">
        <v>194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5D86-FF3E-4480-9D0F-3794B8317453}">
  <sheetPr codeName="Sheet3"/>
  <dimension ref="B4:C13"/>
  <sheetViews>
    <sheetView workbookViewId="0">
      <selection activeCell="C15" sqref="C15"/>
    </sheetView>
  </sheetViews>
  <sheetFormatPr defaultRowHeight="18" x14ac:dyDescent="0.55000000000000004"/>
  <cols>
    <col min="3" max="3" width="42.1640625" customWidth="1"/>
  </cols>
  <sheetData>
    <row r="4" spans="2:3" x14ac:dyDescent="0.55000000000000004">
      <c r="B4" t="s">
        <v>55</v>
      </c>
      <c r="C4" t="s">
        <v>56</v>
      </c>
    </row>
    <row r="5" spans="2:3" x14ac:dyDescent="0.55000000000000004">
      <c r="B5" t="s">
        <v>20</v>
      </c>
      <c r="C5" t="s">
        <v>57</v>
      </c>
    </row>
    <row r="6" spans="2:3" x14ac:dyDescent="0.55000000000000004">
      <c r="B6" t="s">
        <v>58</v>
      </c>
      <c r="C6" t="s">
        <v>59</v>
      </c>
    </row>
    <row r="7" spans="2:3" x14ac:dyDescent="0.55000000000000004">
      <c r="B7" t="s">
        <v>60</v>
      </c>
      <c r="C7" t="s">
        <v>61</v>
      </c>
    </row>
    <row r="8" spans="2:3" ht="54" x14ac:dyDescent="0.55000000000000004">
      <c r="B8" t="s">
        <v>22</v>
      </c>
      <c r="C8" s="9" t="s">
        <v>62</v>
      </c>
    </row>
    <row r="9" spans="2:3" ht="36" x14ac:dyDescent="0.55000000000000004">
      <c r="B9" t="s">
        <v>213</v>
      </c>
      <c r="C9" s="9" t="s">
        <v>214</v>
      </c>
    </row>
    <row r="10" spans="2:3" ht="54" x14ac:dyDescent="0.55000000000000004">
      <c r="B10" t="s">
        <v>215</v>
      </c>
      <c r="C10" s="9" t="s">
        <v>216</v>
      </c>
    </row>
    <row r="11" spans="2:3" ht="36" x14ac:dyDescent="0.55000000000000004">
      <c r="B11" t="s">
        <v>265</v>
      </c>
      <c r="C11" s="9" t="s">
        <v>266</v>
      </c>
    </row>
    <row r="12" spans="2:3" x14ac:dyDescent="0.55000000000000004">
      <c r="B12" s="10" t="s">
        <v>263</v>
      </c>
      <c r="C12" s="11" t="s">
        <v>77</v>
      </c>
    </row>
    <row r="13" spans="2:3" ht="36" x14ac:dyDescent="0.55000000000000004">
      <c r="B13" t="s">
        <v>323</v>
      </c>
      <c r="C13" s="9" t="s">
        <v>320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AE648-F8DA-48FA-B5E8-30469B999A0B}">
  <sheetPr codeName="Sheet2"/>
  <dimension ref="A2:J9"/>
  <sheetViews>
    <sheetView zoomScale="11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9" sqref="F19"/>
    </sheetView>
  </sheetViews>
  <sheetFormatPr defaultRowHeight="18" x14ac:dyDescent="0.55000000000000004"/>
  <cols>
    <col min="9" max="9" width="13.83203125" customWidth="1"/>
    <col min="10" max="10" width="19" customWidth="1"/>
  </cols>
  <sheetData>
    <row r="2" spans="1:10" x14ac:dyDescent="0.55000000000000004">
      <c r="B2" s="12" t="s">
        <v>45</v>
      </c>
      <c r="C2" s="12"/>
      <c r="D2" s="12"/>
      <c r="E2" s="12"/>
      <c r="F2" s="12"/>
      <c r="G2" s="12"/>
    </row>
    <row r="3" spans="1:10" x14ac:dyDescent="0.55000000000000004">
      <c r="A3" s="1" t="s">
        <v>7</v>
      </c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s="8" t="s">
        <v>6</v>
      </c>
      <c r="I3" t="s">
        <v>44</v>
      </c>
      <c r="J3" t="s">
        <v>31</v>
      </c>
    </row>
    <row r="4" spans="1:10" x14ac:dyDescent="0.55000000000000004">
      <c r="A4" s="1" t="s">
        <v>0</v>
      </c>
      <c r="B4">
        <v>0</v>
      </c>
      <c r="C4">
        <v>1</v>
      </c>
      <c r="D4">
        <v>0</v>
      </c>
      <c r="E4">
        <v>-1</v>
      </c>
      <c r="F4">
        <v>1</v>
      </c>
      <c r="G4">
        <v>-2</v>
      </c>
      <c r="H4" s="8">
        <f t="shared" ref="H4:H9" si="0">SUM(B4:G4)</f>
        <v>-1</v>
      </c>
      <c r="I4" t="s">
        <v>19</v>
      </c>
      <c r="J4" t="s">
        <v>35</v>
      </c>
    </row>
    <row r="5" spans="1:10" x14ac:dyDescent="0.55000000000000004">
      <c r="A5" s="1" t="s">
        <v>36</v>
      </c>
      <c r="B5">
        <v>-1</v>
      </c>
      <c r="C5">
        <v>0</v>
      </c>
      <c r="D5">
        <v>-2</v>
      </c>
      <c r="E5">
        <v>2</v>
      </c>
      <c r="F5">
        <v>2</v>
      </c>
      <c r="G5">
        <v>-2</v>
      </c>
      <c r="H5" s="8">
        <f t="shared" si="0"/>
        <v>-1</v>
      </c>
      <c r="I5" t="s">
        <v>39</v>
      </c>
      <c r="J5" t="s">
        <v>30</v>
      </c>
    </row>
    <row r="6" spans="1:10" x14ac:dyDescent="0.55000000000000004">
      <c r="A6" s="1" t="s">
        <v>2</v>
      </c>
      <c r="B6">
        <v>0</v>
      </c>
      <c r="C6">
        <v>2</v>
      </c>
      <c r="D6">
        <v>0</v>
      </c>
      <c r="E6">
        <v>0</v>
      </c>
      <c r="F6">
        <v>-2</v>
      </c>
      <c r="G6">
        <v>0</v>
      </c>
      <c r="H6" s="8">
        <f t="shared" si="0"/>
        <v>0</v>
      </c>
      <c r="I6" t="s">
        <v>41</v>
      </c>
      <c r="J6" t="s">
        <v>33</v>
      </c>
    </row>
    <row r="7" spans="1:10" x14ac:dyDescent="0.55000000000000004">
      <c r="A7" s="1" t="s">
        <v>3</v>
      </c>
      <c r="B7">
        <v>1</v>
      </c>
      <c r="C7">
        <v>-2</v>
      </c>
      <c r="D7">
        <v>0</v>
      </c>
      <c r="E7">
        <v>0</v>
      </c>
      <c r="F7">
        <v>-1</v>
      </c>
      <c r="G7">
        <v>2</v>
      </c>
      <c r="H7" s="8">
        <f t="shared" si="0"/>
        <v>0</v>
      </c>
      <c r="I7" t="s">
        <v>43</v>
      </c>
      <c r="J7" t="s">
        <v>38</v>
      </c>
    </row>
    <row r="8" spans="1:10" x14ac:dyDescent="0.55000000000000004">
      <c r="A8" s="1" t="s">
        <v>4</v>
      </c>
      <c r="B8">
        <v>-1</v>
      </c>
      <c r="C8">
        <v>-2</v>
      </c>
      <c r="D8">
        <v>2</v>
      </c>
      <c r="E8">
        <v>1</v>
      </c>
      <c r="F8">
        <v>0</v>
      </c>
      <c r="G8">
        <v>2</v>
      </c>
      <c r="H8" s="8">
        <f t="shared" si="0"/>
        <v>2</v>
      </c>
      <c r="I8" t="s">
        <v>42</v>
      </c>
      <c r="J8" t="s">
        <v>32</v>
      </c>
    </row>
    <row r="9" spans="1:10" x14ac:dyDescent="0.55000000000000004">
      <c r="A9" s="1" t="s">
        <v>5</v>
      </c>
      <c r="B9">
        <v>2</v>
      </c>
      <c r="C9">
        <v>2</v>
      </c>
      <c r="D9">
        <v>0</v>
      </c>
      <c r="E9">
        <v>-2</v>
      </c>
      <c r="F9">
        <v>-2</v>
      </c>
      <c r="G9">
        <v>0</v>
      </c>
      <c r="H9" s="8">
        <f t="shared" si="0"/>
        <v>0</v>
      </c>
      <c r="I9" t="s">
        <v>40</v>
      </c>
      <c r="J9" t="s">
        <v>34</v>
      </c>
    </row>
  </sheetData>
  <mergeCells count="1">
    <mergeCell ref="B2:G2"/>
  </mergeCells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2FC68-3CBA-46E7-B763-7A54C0C1F7C7}">
  <dimension ref="A1:A4"/>
  <sheetViews>
    <sheetView workbookViewId="0">
      <selection activeCell="A5" sqref="A5"/>
    </sheetView>
  </sheetViews>
  <sheetFormatPr defaultRowHeight="18" x14ac:dyDescent="0.55000000000000004"/>
  <sheetData>
    <row r="1" spans="1:1" x14ac:dyDescent="0.55000000000000004">
      <c r="A1" t="s">
        <v>329</v>
      </c>
    </row>
    <row r="2" spans="1:1" x14ac:dyDescent="0.55000000000000004">
      <c r="A2" t="s">
        <v>330</v>
      </c>
    </row>
    <row r="3" spans="1:1" x14ac:dyDescent="0.55000000000000004">
      <c r="A3" t="s">
        <v>359</v>
      </c>
    </row>
    <row r="4" spans="1:1" x14ac:dyDescent="0.55000000000000004">
      <c r="A4" t="s">
        <v>360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1297E-DD81-4390-8BA5-DD64925BA02C}">
  <sheetPr codeName="Sheet4"/>
  <dimension ref="B3:B11"/>
  <sheetViews>
    <sheetView workbookViewId="0">
      <selection activeCell="L15" sqref="L15"/>
    </sheetView>
  </sheetViews>
  <sheetFormatPr defaultRowHeight="18" x14ac:dyDescent="0.55000000000000004"/>
  <sheetData>
    <row r="3" spans="2:2" x14ac:dyDescent="0.55000000000000004">
      <c r="B3" t="s">
        <v>46</v>
      </c>
    </row>
    <row r="4" spans="2:2" x14ac:dyDescent="0.55000000000000004">
      <c r="B4" t="s">
        <v>47</v>
      </c>
    </row>
    <row r="5" spans="2:2" x14ac:dyDescent="0.55000000000000004">
      <c r="B5" t="s">
        <v>48</v>
      </c>
    </row>
    <row r="6" spans="2:2" x14ac:dyDescent="0.55000000000000004">
      <c r="B6" t="s">
        <v>49</v>
      </c>
    </row>
    <row r="7" spans="2:2" x14ac:dyDescent="0.55000000000000004">
      <c r="B7" t="s">
        <v>50</v>
      </c>
    </row>
    <row r="8" spans="2:2" x14ac:dyDescent="0.55000000000000004">
      <c r="B8" t="s">
        <v>51</v>
      </c>
    </row>
    <row r="9" spans="2:2" x14ac:dyDescent="0.55000000000000004">
      <c r="B9" t="s">
        <v>52</v>
      </c>
    </row>
    <row r="10" spans="2:2" x14ac:dyDescent="0.55000000000000004">
      <c r="B10" t="s">
        <v>53</v>
      </c>
    </row>
    <row r="11" spans="2:2" x14ac:dyDescent="0.55000000000000004">
      <c r="B11" t="s">
        <v>54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E7B18-1A82-4AA4-A404-23D93D6A61EF}">
  <sheetPr codeName="Sheet5"/>
  <dimension ref="B2:E8"/>
  <sheetViews>
    <sheetView zoomScale="150" workbookViewId="0">
      <selection activeCell="D6" sqref="D6"/>
    </sheetView>
  </sheetViews>
  <sheetFormatPr defaultRowHeight="18" x14ac:dyDescent="0.55000000000000004"/>
  <cols>
    <col min="3" max="3" width="23.5" customWidth="1"/>
    <col min="4" max="4" width="30.58203125" customWidth="1"/>
    <col min="5" max="5" width="18" customWidth="1"/>
  </cols>
  <sheetData>
    <row r="2" spans="2:5" x14ac:dyDescent="0.55000000000000004">
      <c r="C2" t="s">
        <v>8</v>
      </c>
      <c r="D2" t="s">
        <v>23</v>
      </c>
      <c r="E2" t="s">
        <v>31</v>
      </c>
    </row>
    <row r="3" spans="2:5" x14ac:dyDescent="0.55000000000000004">
      <c r="B3" s="2" t="s">
        <v>0</v>
      </c>
      <c r="C3" t="s">
        <v>37</v>
      </c>
      <c r="D3" t="s">
        <v>24</v>
      </c>
      <c r="E3" t="s">
        <v>35</v>
      </c>
    </row>
    <row r="4" spans="2:5" x14ac:dyDescent="0.55000000000000004">
      <c r="B4" s="3" t="s">
        <v>36</v>
      </c>
      <c r="C4" t="s">
        <v>9</v>
      </c>
      <c r="D4" t="s">
        <v>25</v>
      </c>
      <c r="E4" t="s">
        <v>30</v>
      </c>
    </row>
    <row r="5" spans="2:5" x14ac:dyDescent="0.55000000000000004">
      <c r="B5" s="2" t="s">
        <v>2</v>
      </c>
      <c r="C5" t="s">
        <v>12</v>
      </c>
      <c r="D5" t="s">
        <v>26</v>
      </c>
      <c r="E5" t="s">
        <v>33</v>
      </c>
    </row>
    <row r="6" spans="2:5" x14ac:dyDescent="0.55000000000000004">
      <c r="B6" s="3" t="s">
        <v>3</v>
      </c>
      <c r="C6" t="s">
        <v>10</v>
      </c>
      <c r="D6" t="s">
        <v>29</v>
      </c>
      <c r="E6" t="s">
        <v>38</v>
      </c>
    </row>
    <row r="7" spans="2:5" x14ac:dyDescent="0.55000000000000004">
      <c r="B7" s="2" t="s">
        <v>4</v>
      </c>
      <c r="C7" t="s">
        <v>11</v>
      </c>
      <c r="D7" t="s">
        <v>28</v>
      </c>
      <c r="E7" t="s">
        <v>32</v>
      </c>
    </row>
    <row r="8" spans="2:5" x14ac:dyDescent="0.55000000000000004">
      <c r="B8" s="3" t="s">
        <v>5</v>
      </c>
      <c r="C8" t="s">
        <v>13</v>
      </c>
      <c r="D8" t="s">
        <v>27</v>
      </c>
      <c r="E8" t="s">
        <v>34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4BB13-AB00-4436-B288-D2C18EF3D410}">
  <sheetPr codeName="Sheet7"/>
  <dimension ref="A2:B12"/>
  <sheetViews>
    <sheetView workbookViewId="0">
      <selection activeCell="B9" sqref="B9"/>
    </sheetView>
  </sheetViews>
  <sheetFormatPr defaultRowHeight="18" x14ac:dyDescent="0.55000000000000004"/>
  <sheetData>
    <row r="2" spans="1:2" x14ac:dyDescent="0.55000000000000004">
      <c r="A2">
        <v>2</v>
      </c>
      <c r="B2">
        <v>8</v>
      </c>
    </row>
    <row r="3" spans="1:2" x14ac:dyDescent="0.55000000000000004">
      <c r="A3">
        <v>3</v>
      </c>
      <c r="B3">
        <v>8</v>
      </c>
    </row>
    <row r="4" spans="1:2" x14ac:dyDescent="0.55000000000000004">
      <c r="A4">
        <v>4</v>
      </c>
      <c r="B4">
        <v>8</v>
      </c>
    </row>
    <row r="5" spans="1:2" x14ac:dyDescent="0.55000000000000004">
      <c r="A5">
        <v>5</v>
      </c>
      <c r="B5">
        <v>8</v>
      </c>
    </row>
    <row r="6" spans="1:2" x14ac:dyDescent="0.55000000000000004">
      <c r="A6">
        <v>6</v>
      </c>
      <c r="B6">
        <v>7</v>
      </c>
    </row>
    <row r="7" spans="1:2" x14ac:dyDescent="0.55000000000000004">
      <c r="A7">
        <v>7</v>
      </c>
      <c r="B7">
        <v>7</v>
      </c>
    </row>
    <row r="8" spans="1:2" x14ac:dyDescent="0.55000000000000004">
      <c r="A8">
        <v>8</v>
      </c>
      <c r="B8">
        <v>6</v>
      </c>
    </row>
    <row r="9" spans="1:2" x14ac:dyDescent="0.55000000000000004">
      <c r="A9">
        <v>9</v>
      </c>
      <c r="B9">
        <v>6</v>
      </c>
    </row>
    <row r="10" spans="1:2" x14ac:dyDescent="0.55000000000000004">
      <c r="A10">
        <v>10</v>
      </c>
      <c r="B10">
        <v>5</v>
      </c>
    </row>
    <row r="11" spans="1:2" x14ac:dyDescent="0.55000000000000004">
      <c r="A11">
        <v>11</v>
      </c>
      <c r="B11">
        <v>5</v>
      </c>
    </row>
    <row r="12" spans="1:2" x14ac:dyDescent="0.55000000000000004">
      <c r="A12">
        <v>12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C2D08-25AC-4872-9D57-0019A0883912}">
  <sheetPr codeName="Sheet8"/>
  <dimension ref="A4:F16"/>
  <sheetViews>
    <sheetView zoomScale="137" workbookViewId="0">
      <selection activeCell="E15" sqref="E15"/>
    </sheetView>
  </sheetViews>
  <sheetFormatPr defaultRowHeight="18" x14ac:dyDescent="0.55000000000000004"/>
  <cols>
    <col min="3" max="3" width="13.25" customWidth="1"/>
    <col min="4" max="4" width="15.58203125" customWidth="1"/>
    <col min="5" max="5" width="17.4140625" customWidth="1"/>
  </cols>
  <sheetData>
    <row r="4" spans="1:6" x14ac:dyDescent="0.55000000000000004">
      <c r="A4">
        <f>-1</f>
        <v>-1</v>
      </c>
      <c r="B4" t="s">
        <v>14</v>
      </c>
    </row>
    <row r="5" spans="1:6" x14ac:dyDescent="0.55000000000000004">
      <c r="A5">
        <f>1</f>
        <v>1</v>
      </c>
      <c r="B5" t="s">
        <v>15</v>
      </c>
    </row>
    <row r="6" spans="1:6" x14ac:dyDescent="0.55000000000000004">
      <c r="A6">
        <f>-1-1</f>
        <v>-2</v>
      </c>
      <c r="B6" t="s">
        <v>16</v>
      </c>
    </row>
    <row r="8" spans="1:6" x14ac:dyDescent="0.55000000000000004">
      <c r="D8" s="5" t="s">
        <v>20</v>
      </c>
      <c r="E8" s="6" t="s">
        <v>21</v>
      </c>
      <c r="F8" s="7" t="s">
        <v>22</v>
      </c>
    </row>
    <row r="10" spans="1:6" x14ac:dyDescent="0.55000000000000004">
      <c r="C10" t="s">
        <v>17</v>
      </c>
      <c r="D10" s="4" t="s">
        <v>18</v>
      </c>
      <c r="E10" s="4"/>
    </row>
    <row r="11" spans="1:6" x14ac:dyDescent="0.55000000000000004">
      <c r="C11" s="2" t="s">
        <v>0</v>
      </c>
      <c r="D11" t="s">
        <v>19</v>
      </c>
    </row>
    <row r="12" spans="1:6" x14ac:dyDescent="0.55000000000000004">
      <c r="C12" s="3" t="s">
        <v>36</v>
      </c>
      <c r="D12" t="s">
        <v>39</v>
      </c>
    </row>
    <row r="13" spans="1:6" x14ac:dyDescent="0.55000000000000004">
      <c r="C13" s="2" t="s">
        <v>2</v>
      </c>
      <c r="D13" t="s">
        <v>41</v>
      </c>
    </row>
    <row r="14" spans="1:6" x14ac:dyDescent="0.55000000000000004">
      <c r="C14" s="3" t="s">
        <v>3</v>
      </c>
      <c r="D14" t="s">
        <v>43</v>
      </c>
    </row>
    <row r="15" spans="1:6" x14ac:dyDescent="0.55000000000000004">
      <c r="C15" s="2" t="s">
        <v>4</v>
      </c>
      <c r="D15" t="s">
        <v>42</v>
      </c>
    </row>
    <row r="16" spans="1:6" x14ac:dyDescent="0.55000000000000004">
      <c r="C16" s="3" t="s">
        <v>5</v>
      </c>
      <c r="D16" t="s">
        <v>40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7AAED2-F4BA-4AA5-A1A9-1B2ED032B1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カード詳細</vt:lpstr>
      <vt:lpstr>状態</vt:lpstr>
      <vt:lpstr>固有名称</vt:lpstr>
      <vt:lpstr>属性特徴</vt:lpstr>
      <vt:lpstr>Sheet4</vt:lpstr>
      <vt:lpstr>カード効果起動タイミング</vt:lpstr>
      <vt:lpstr>Sheet2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悠樹 奥村</dc:creator>
  <cp:lastModifiedBy>悠樹 奥村</cp:lastModifiedBy>
  <dcterms:created xsi:type="dcterms:W3CDTF">2025-03-27T15:34:30Z</dcterms:created>
  <dcterms:modified xsi:type="dcterms:W3CDTF">2025-11-22T11:58:42Z</dcterms:modified>
</cp:coreProperties>
</file>